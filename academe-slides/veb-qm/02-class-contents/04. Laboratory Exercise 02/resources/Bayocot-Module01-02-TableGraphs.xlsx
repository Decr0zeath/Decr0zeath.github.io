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+xml"/>
  <Override PartName="/xl/charts/chartEx1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2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cr0zeath\Downloads\GITFILES\VEB-QM\--02. Class Contents\04. Laboratory Exercise 02\resources\"/>
    </mc:Choice>
  </mc:AlternateContent>
  <xr:revisionPtr revIDLastSave="0" documentId="13_ncr:1_{2A179B26-5CD2-40B8-B380-FE59B8E646BE}" xr6:coauthVersionLast="47" xr6:coauthVersionMax="47" xr10:uidLastSave="{00000000-0000-0000-0000-000000000000}"/>
  <workbookProtection workbookAlgorithmName="SHA-512" workbookHashValue="YU6hUjILZ4c6uHtLKrI47r6HUfxgGxpv3i/22B70gaFylaGehQL5edMo9BwfhTauBvvuV0fXQ8CljS9uV6TfYg==" workbookSaltValue="eF1/l8xhnmWQ+3IA5b7QXg==" workbookSpinCount="100000" lockStructure="1"/>
  <bookViews>
    <workbookView xWindow="-108" yWindow="-108" windowWidth="30936" windowHeight="16896" tabRatio="666" xr2:uid="{9C9942FF-C0EB-48B0-817D-E646496F4249}"/>
  </bookViews>
  <sheets>
    <sheet name="Olympic Summer Games" sheetId="1" r:id="rId1"/>
    <sheet name="Olympic Winter Games" sheetId="4" r:id="rId2"/>
    <sheet name="Olympic Games Comparison" sheetId="6" r:id="rId3"/>
    <sheet name="Average Temperature" sheetId="7" r:id="rId4"/>
    <sheet name="Savings" sheetId="8" r:id="rId5"/>
    <sheet name="CoffeeShop Revenue" sheetId="9" r:id="rId6"/>
    <sheet name="Venn Diagrams" sheetId="10" r:id="rId7"/>
    <sheet name="Dot Plots" sheetId="11" r:id="rId8"/>
    <sheet name="Histogram" sheetId="12" r:id="rId9"/>
  </sheets>
  <definedNames>
    <definedName name="_xlchart.v1.0" hidden="1">Histogram!$G$3:$G$22</definedName>
    <definedName name="_xlchart.v1.1" hidden="1">Histogram!$C$3:$C$202</definedName>
    <definedName name="ExternalData_1" localSheetId="5" hidden="1">'CoffeeShop Revenue'!$B$32:$D$80</definedName>
  </definedNames>
  <calcPr calcId="181029"/>
  <pivotCaches>
    <pivotCache cacheId="0" r:id="rId10"/>
    <pivotCache cacheId="1" r:id="rId11"/>
    <pivotCache cacheId="2" r:id="rId12"/>
    <pivotCache cacheId="3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2" l="1" a="1"/>
  <c r="I7" i="12" s="1"/>
  <c r="E3" i="12" a="1"/>
  <c r="E8" i="12" s="1"/>
  <c r="D4" i="8"/>
  <c r="D5" i="8" s="1"/>
  <c r="D6" i="8" s="1"/>
  <c r="D7" i="8" s="1"/>
  <c r="D8" i="8" s="1"/>
  <c r="D9" i="8" s="1"/>
  <c r="D10" i="8" s="1"/>
  <c r="D11" i="8" s="1"/>
  <c r="D12" i="8" s="1"/>
  <c r="I4" i="12" l="1"/>
  <c r="I3" i="12"/>
  <c r="I5" i="12"/>
  <c r="I6" i="12"/>
  <c r="E3" i="12"/>
  <c r="E4" i="12"/>
  <c r="E5" i="12"/>
  <c r="E6" i="12"/>
  <c r="E7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9E1168-22E2-43F3-81BF-F220E8B06CFB}" keepAlive="1" name="Query - Table4" type="5" refreshedVersion="8" deleted="1" background="1" saveData="1">
    <dbPr connection="" command=""/>
  </connection>
</connections>
</file>

<file path=xl/sharedStrings.xml><?xml version="1.0" encoding="utf-8"?>
<sst xmlns="http://schemas.openxmlformats.org/spreadsheetml/2006/main" count="606" uniqueCount="138">
  <si>
    <t>Games</t>
  </si>
  <si>
    <t>Year</t>
  </si>
  <si>
    <t>City, Country</t>
  </si>
  <si>
    <t>Continent</t>
  </si>
  <si>
    <t>I</t>
  </si>
  <si>
    <t>Athens, Greece</t>
  </si>
  <si>
    <t>Europe</t>
  </si>
  <si>
    <t>II</t>
  </si>
  <si>
    <t>Paris, France</t>
  </si>
  <si>
    <t>III</t>
  </si>
  <si>
    <t>St. Louis, United States</t>
  </si>
  <si>
    <t>North America</t>
  </si>
  <si>
    <t>IV</t>
  </si>
  <si>
    <t>London, United Kingdom</t>
  </si>
  <si>
    <t>V</t>
  </si>
  <si>
    <t>Stockholm, Sweden</t>
  </si>
  <si>
    <t>VII</t>
  </si>
  <si>
    <t>Antwerp, Belgium</t>
  </si>
  <si>
    <t>VIII</t>
  </si>
  <si>
    <t>IX</t>
  </si>
  <si>
    <t>Amsterdam, Netherlands</t>
  </si>
  <si>
    <t>X</t>
  </si>
  <si>
    <t>Los Angeles, United States</t>
  </si>
  <si>
    <t>XI</t>
  </si>
  <si>
    <t>Berlin, Germany</t>
  </si>
  <si>
    <t>XIV</t>
  </si>
  <si>
    <t>XV</t>
  </si>
  <si>
    <t>Helsinki, Finland</t>
  </si>
  <si>
    <t>XVI</t>
  </si>
  <si>
    <t>Melbourne, Australia</t>
  </si>
  <si>
    <t>Australia</t>
  </si>
  <si>
    <t>XVII</t>
  </si>
  <si>
    <t>Rome, Italy</t>
  </si>
  <si>
    <t>XVIII</t>
  </si>
  <si>
    <t>Tokyo, Japan</t>
  </si>
  <si>
    <t>Asia</t>
  </si>
  <si>
    <t>XIX</t>
  </si>
  <si>
    <t>Mexico City, Mexico</t>
  </si>
  <si>
    <t>XX</t>
  </si>
  <si>
    <t>Munich, West Germany</t>
  </si>
  <si>
    <t>XXI</t>
  </si>
  <si>
    <t>Montreal, Canada</t>
  </si>
  <si>
    <t>XXII</t>
  </si>
  <si>
    <t>Moscow, Soviet Union</t>
  </si>
  <si>
    <t>XXIII</t>
  </si>
  <si>
    <t>XXIV</t>
  </si>
  <si>
    <t>Seoul, South Korea</t>
  </si>
  <si>
    <t>XXV</t>
  </si>
  <si>
    <t>Barcelona, Spain</t>
  </si>
  <si>
    <t>XXVI</t>
  </si>
  <si>
    <t>Atlanta, United States</t>
  </si>
  <si>
    <t>XXVII</t>
  </si>
  <si>
    <t>Sydney, Australia</t>
  </si>
  <si>
    <t>XXVIII</t>
  </si>
  <si>
    <t>XXIX</t>
  </si>
  <si>
    <t>Beijing, China</t>
  </si>
  <si>
    <t>XXX</t>
  </si>
  <si>
    <t>XXXI</t>
  </si>
  <si>
    <t>Rio de Janeiro, Brazil</t>
  </si>
  <si>
    <t>South America</t>
  </si>
  <si>
    <t>Row Labels</t>
  </si>
  <si>
    <t>Grand Total</t>
  </si>
  <si>
    <t>Count of Continent</t>
  </si>
  <si>
    <t>Chamonix, France</t>
  </si>
  <si>
    <t>St. Moritz, Switzerland</t>
  </si>
  <si>
    <t>Lake Placid, United States</t>
  </si>
  <si>
    <t>Garmisch-Partenkirchen, Germany</t>
  </si>
  <si>
    <t>VI</t>
  </si>
  <si>
    <t>Oslo, Norway</t>
  </si>
  <si>
    <t>Cortina d'Ampezzo, Italy</t>
  </si>
  <si>
    <t>Squaw Valley, United States</t>
  </si>
  <si>
    <t>Innsbruck, Austria</t>
  </si>
  <si>
    <t>Grenoble, France</t>
  </si>
  <si>
    <t>Sapporo, Japan</t>
  </si>
  <si>
    <t>XII</t>
  </si>
  <si>
    <t>XIII</t>
  </si>
  <si>
    <t>Sarajevo, Yugoslavia</t>
  </si>
  <si>
    <t>Calgary, Canada</t>
  </si>
  <si>
    <t>Albertville, France</t>
  </si>
  <si>
    <t>Lillehammer, Norway</t>
  </si>
  <si>
    <t>Nagano, Japan</t>
  </si>
  <si>
    <t>Salt Lake City, United States</t>
  </si>
  <si>
    <t>Turin, Italy</t>
  </si>
  <si>
    <t>Vancouver, Canada</t>
  </si>
  <si>
    <t>Sochi, Russia</t>
  </si>
  <si>
    <t>Pyeongchang, South Korea</t>
  </si>
  <si>
    <t>Game</t>
  </si>
  <si>
    <t>City, County</t>
  </si>
  <si>
    <t>Winter Games</t>
  </si>
  <si>
    <t>Summer Games</t>
  </si>
  <si>
    <t>Season</t>
  </si>
  <si>
    <t>Column Labels</t>
  </si>
  <si>
    <t>Month</t>
  </si>
  <si>
    <t>Average High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</si>
  <si>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</si>
  <si>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</si>
  <si>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</si>
  <si>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</si>
  <si>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</si>
  <si>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</si>
  <si>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</si>
  <si>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</si>
  <si>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</si>
  <si>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</si>
  <si>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</si>
  <si>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</si>
  <si>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Age</t>
  </si>
  <si>
    <t>Investment</t>
  </si>
  <si>
    <t>Total</t>
  </si>
  <si>
    <t>Sum of Total</t>
  </si>
  <si>
    <t>Sum of Investment</t>
  </si>
  <si>
    <t>Revenue</t>
  </si>
  <si>
    <t>2019</t>
  </si>
  <si>
    <t>2020</t>
  </si>
  <si>
    <t>2021</t>
  </si>
  <si>
    <t>2022</t>
  </si>
  <si>
    <t>Soda</t>
  </si>
  <si>
    <t>No Soda</t>
  </si>
  <si>
    <t>Popcorn</t>
  </si>
  <si>
    <t>No Popcorn</t>
  </si>
  <si>
    <t>Number of Students of who like game genres:</t>
  </si>
  <si>
    <t>Action</t>
  </si>
  <si>
    <t>Strategy</t>
  </si>
  <si>
    <t>Racing</t>
  </si>
  <si>
    <t>✓</t>
  </si>
  <si>
    <t>Type of Pet</t>
  </si>
  <si>
    <t>Count</t>
  </si>
  <si>
    <t>Dog</t>
  </si>
  <si>
    <t>Cat</t>
  </si>
  <si>
    <t>Bird</t>
  </si>
  <si>
    <t>Fish</t>
  </si>
  <si>
    <t>Rabbit</t>
  </si>
  <si>
    <t>Other</t>
  </si>
  <si>
    <t>Quiz Score</t>
  </si>
  <si>
    <t>Vehicle #</t>
  </si>
  <si>
    <t xml:space="preserve"> Age of vehicle</t>
  </si>
  <si>
    <t>Minutes</t>
  </si>
  <si>
    <t>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</si>
</sst>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₱&quot;#,##0;[Red]\-&quot;₱&quot;#,##0"/>
    <numFmt numFmtId="165" formatCode="_-[$₱-464]* #,##0_-;\-[$₱-464]* #,##0_-;_-[$₱-464]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75"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numFmt numFmtId="165" formatCode="_-[$₱-464]* #,##0_-;\-[$₱-464]* #,##0_-;_-[$₱-464]* &quot;-&quot;??_-;_-@_-"/>
    </dxf>
    <dxf>
      <numFmt numFmtId="0" formatCode="General"/>
    </dxf>
    <dxf>
      <numFmt numFmtId="0" formatCode="General"/>
    </dxf>
    <dxf>
      <numFmt numFmtId="165" formatCode="_-[$₱-464]* #,##0_-;\-[$₱-464]* #,##0_-;_-[$₱-464]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_-[$₱-464]* #,##0_-;\-[$₱-464]* #,##0_-;_-[$₱-464]* &quot;-&quot;??_-;_-@_-"/>
      <alignment horizontal="center" vertical="bottom" textRotation="0" wrapText="0" indent="0" justifyLastLine="0" shrinkToFit="0" readingOrder="0"/>
    </dxf>
    <dxf>
      <numFmt numFmtId="165" formatCode="_-[$₱-464]* #,##0_-;\-[$₱-464]* #,##0_-;_-[$₱-464]* &quot;-&quot;??_-;_-@_-"/>
      <alignment horizontal="center" vertical="bottom" textRotation="0" wrapText="0" indent="0" justifyLastLine="0" shrinkToFit="0" readingOrder="0"/>
    </dxf>
    <dxf>
      <numFmt numFmtId="165" formatCode="_-[$₱-464]* #,##0_-;\-[$₱-464]* #,##0_-;_-[$₱-464]* &quot;-&quot;??_-;_-@_-"/>
      <alignment horizontal="center" vertical="bottom" textRotation="0" wrapText="0" indent="0" justifyLastLine="0" shrinkToFit="0" readingOrder="0"/>
    </dxf>
    <dxf>
      <numFmt numFmtId="165" formatCode="_-[$₱-464]* #,##0_-;\-[$₱-464]* #,##0_-;_-[$₱-464]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₱&quot;#,##0;[Red]\-&quot;₱&quot;#,##0"/>
      <alignment horizontal="center" vertical="center" textRotation="0" wrapText="0" indent="0" justifyLastLine="0" shrinkToFit="0" readingOrder="0"/>
    </dxf>
    <dxf>
      <numFmt numFmtId="164" formatCode="&quot;₱&quot;#,##0;[Red]\-&quot;₱&quot;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gif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gif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[Bayocot-Module01-02-TableGraphs.xlsx]Olympic Summer Games!PivotTable1</c:name>
    <c:fmtId val="3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'Olympic Summer Games'!$H$2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'Olympic Summer Games'!$G$3:$G$8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  <c:pt idx="3">
                  <c:v>Australia</c:v>
                </c:pt>
                <c:pt idx="4">
                  <c:v>South America</c:v>
                </c:pt>
              </c:strCache>
            </c:strRef>
          </c:cat>
          <c:val>
            <c:numRef>
              <c:f>'Olympic Summer Games'!$H$3:$H$8</c:f>
              <c:numCache>
                <c:formatCode>General</c:formatCode>
                <c:ptCount val="5"/>
                <c:pt idx="0">
                  <c:v>16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6-4F24-95F2-10874A4B2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overlap val="-27"/>
        <c:axId val="113969432"/>
        <c:axId val="113970152"/>
      </c:barChart>
      <c:catAx>
        <c:axId val="113969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13970152"/>
        <c:crosses val="autoZero"/>
        <c:auto val="1"/>
        <c:lblAlgn val="ctr"/>
        <c:lblOffset val="100"/>
        <c:noMultiLvlLbl val="0"/>
      </c:catAx>
      <c:valAx>
        <c:axId val="11397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1396943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[Bayocot-Module01-02-TableGraphs.xlsx]Olympic Summer Games!PivotTable3</c:name>
    <c:fmtId val="5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'Olympic Summer Games'!$H$10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'Olympic Summer Games'!$G$11:$G$16</c:f>
              <c:strCache>
                <c:ptCount val="5"/>
                <c:pt idx="0">
                  <c:v>South America</c:v>
                </c:pt>
                <c:pt idx="1">
                  <c:v>Australia</c:v>
                </c:pt>
                <c:pt idx="2">
                  <c:v>Asia</c:v>
                </c:pt>
                <c:pt idx="3">
                  <c:v>North America</c:v>
                </c:pt>
                <c:pt idx="4">
                  <c:v>Europe</c:v>
                </c:pt>
              </c:strCache>
            </c:strRef>
          </c:cat>
          <c:val>
            <c:numRef>
              <c:f>'Olympic Summer Games'!$H$11:$H$16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D-4193-85FC-7A5BF30B1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overlap val="-27"/>
        <c:axId val="783746832"/>
        <c:axId val="783747192"/>
      </c:barChart>
      <c:catAx>
        <c:axId val="7837468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83747192"/>
        <c:crosses val="autoZero"/>
        <c:auto val="1"/>
        <c:lblAlgn val="ctr"/>
        <c:lblOffset val="100"/>
        <c:noMultiLvlLbl val="0"/>
      </c:catAx>
      <c:valAx>
        <c:axId val="783747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8374683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[Bayocot-Module01-02-TableGraphs.xlsx]Olympic Summer Games!PivotTable1</c:name>
    <c:fmtId val="31"/>
  </c:pivotSource>
  <c:chart>
    <c:autoTitleDeleted val="1"/>
    <c:pivotFmts>
      <c:pivotFmt>
        <c:idx val="0"/>
        <c:spPr>
          <a:solidFill>
            <a:schemeClr val="accent1"/>
          </a:solidFill>
          <a:ln w="63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2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3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4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5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6"/>
        <c:spPr>
          <a:solidFill>
            <a:schemeClr val="accent1"/>
          </a:solidFill>
          <a:ln w="63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63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ln w="3175">
                    <a:noFill/>
                  </a:ln>
                  <a:solidFill>
                    <a:schemeClr val="bg1"/>
                  </a:solidFill>
                  <a:effectLst>
                    <a:outerShdw blurRad="50800" dist="38100" dir="18900000" algn="bl" rotWithShape="0">
                      <a:prstClr val="black">
                        <a:alpha val="40000"/>
                      </a:prstClr>
                    </a:outerShdw>
                  </a:effectLst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63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0.159942331152268"/>
              <c:y val="-3.09930796830816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ln w="3175">
                    <a:noFill/>
                  </a:ln>
                  <a:solidFill>
                    <a:schemeClr val="bg1"/>
                  </a:solidFill>
                  <a:effectLst>
                    <a:outerShdw blurRad="50800" dist="38100" dir="18900000" algn="bl" rotWithShape="0">
                      <a:prstClr val="black">
                        <a:alpha val="40000"/>
                      </a:prstClr>
                    </a:outerShdw>
                  </a:effectLst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63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.12781835369170402"/>
              <c:y val="-8.97922178711259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ln w="3175">
                    <a:noFill/>
                  </a:ln>
                  <a:solidFill>
                    <a:schemeClr val="bg1"/>
                  </a:solidFill>
                  <a:effectLst>
                    <a:outerShdw blurRad="50800" dist="38100" dir="18900000" algn="bl" rotWithShape="0">
                      <a:prstClr val="black">
                        <a:alpha val="40000"/>
                      </a:prstClr>
                    </a:outerShdw>
                  </a:effectLst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63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.12753977935856606"/>
              <c:y val="0.121312511845239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ln w="3175">
                    <a:noFill/>
                  </a:ln>
                  <a:solidFill>
                    <a:schemeClr val="bg1"/>
                  </a:solidFill>
                  <a:effectLst>
                    <a:outerShdw blurRad="50800" dist="38100" dir="18900000" algn="bl" rotWithShape="0">
                      <a:prstClr val="black">
                        <a:alpha val="40000"/>
                      </a:prstClr>
                    </a:outerShdw>
                  </a:effectLst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63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7.6288439297200528E-2"/>
              <c:y val="0.19810382669106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ln w="3175">
                    <a:noFill/>
                  </a:ln>
                  <a:solidFill>
                    <a:schemeClr val="bg1"/>
                  </a:solidFill>
                  <a:effectLst>
                    <a:outerShdw blurRad="50800" dist="38100" dir="18900000" algn="bl" rotWithShape="0">
                      <a:prstClr val="black">
                        <a:alpha val="40000"/>
                      </a:prstClr>
                    </a:outerShdw>
                  </a:effectLst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63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2.2765728227633519E-2"/>
              <c:y val="0.192935256574624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ln w="3175">
                    <a:noFill/>
                  </a:ln>
                  <a:solidFill>
                    <a:schemeClr val="bg1"/>
                  </a:solidFill>
                  <a:effectLst>
                    <a:outerShdw blurRad="50800" dist="38100" dir="18900000" algn="bl" rotWithShape="0">
                      <a:prstClr val="black">
                        <a:alpha val="40000"/>
                      </a:prstClr>
                    </a:outerShdw>
                  </a:effectLst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'Olympic Summer Games'!$H$2</c:f>
              <c:strCache>
                <c:ptCount val="1"/>
                <c:pt idx="0">
                  <c:v>Total</c:v>
                </c:pt>
              </c:strCache>
            </c:strRef>
          </c:tx>
          <c:spPr>
            <a:ln w="635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 w="635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18-4D53-B1A5-63BBF27A6B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635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18-4D53-B1A5-63BBF27A6B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635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18-4D53-B1A5-63BBF27A6B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635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B18-4D53-B1A5-63BBF27A6BF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635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B18-4D53-B1A5-63BBF27A6BF7}"/>
              </c:ext>
            </c:extLst>
          </c:dPt>
          <c:dLbls>
            <c:dLbl>
              <c:idx val="0"/>
              <c:layout>
                <c:manualLayout>
                  <c:x val="-0.159942331152268"/>
                  <c:y val="-3.099307968308163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18-4D53-B1A5-63BBF27A6BF7}"/>
                </c:ext>
              </c:extLst>
            </c:dLbl>
            <c:dLbl>
              <c:idx val="1"/>
              <c:layout>
                <c:manualLayout>
                  <c:x val="0.12781835369170402"/>
                  <c:y val="-8.979221787112595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18-4D53-B1A5-63BBF27A6BF7}"/>
                </c:ext>
              </c:extLst>
            </c:dLbl>
            <c:dLbl>
              <c:idx val="2"/>
              <c:layout>
                <c:manualLayout>
                  <c:x val="0.12753977935856606"/>
                  <c:y val="0.1213125118452392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18-4D53-B1A5-63BBF27A6BF7}"/>
                </c:ext>
              </c:extLst>
            </c:dLbl>
            <c:dLbl>
              <c:idx val="3"/>
              <c:layout>
                <c:manualLayout>
                  <c:x val="7.6288439297200528E-2"/>
                  <c:y val="0.198103826691068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18-4D53-B1A5-63BBF27A6BF7}"/>
                </c:ext>
              </c:extLst>
            </c:dLbl>
            <c:dLbl>
              <c:idx val="4"/>
              <c:layout>
                <c:manualLayout>
                  <c:x val="2.2765728227633519E-2"/>
                  <c:y val="0.1929352565746247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18-4D53-B1A5-63BBF27A6B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effectLst>
                      <a:outerShdw blurRad="50800" dist="38100" dir="18900000" algn="bl" rotWithShape="0">
                        <a:prstClr val="black">
                          <a:alpha val="40000"/>
                        </a:prstClr>
                      </a:outerShdw>
                    </a:effectLst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'Olympic Summer Games'!$G$3:$G$8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  <c:pt idx="3">
                  <c:v>Australia</c:v>
                </c:pt>
                <c:pt idx="4">
                  <c:v>South America</c:v>
                </c:pt>
              </c:strCache>
            </c:strRef>
          </c:cat>
          <c:val>
            <c:numRef>
              <c:f>'Olympic Summer Games'!$H$3:$H$8</c:f>
              <c:numCache>
                <c:formatCode>General</c:formatCode>
                <c:ptCount val="5"/>
                <c:pt idx="0">
                  <c:v>16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18-4D53-B1A5-63BBF27A6BF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843963254593189"/>
          <c:y val="0.33246391076115489"/>
          <c:w val="0.23327207338519304"/>
          <c:h val="0.386866531642279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[Bayocot-Module01-02-TableGraphs.xlsx]Olympic Summer Games!PivotTable1</c:name>
    <c:fmtId val="3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pPr>
            <a:solidFill>
              <a:schemeClr val="bg1"/>
            </a:solidFill>
            <a:ln w="349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  <a:tailEnd type="oval"/>
          </a:ln>
          <a:effectLst/>
        </c:spPr>
        <c:marker>
          <c:spPr>
            <a:solidFill>
              <a:schemeClr val="bg1"/>
            </a:solidFill>
            <a:ln w="349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pPr>
            <a:solidFill>
              <a:schemeClr val="bg1"/>
            </a:solidFill>
            <a:ln w="349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  <a:tailEnd type="oval"/>
          </a:ln>
          <a:effectLst/>
        </c:spPr>
        <c:marker>
          <c:spPr>
            <a:solidFill>
              <a:schemeClr val="bg1"/>
            </a:solidFill>
            <a:ln w="349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circle"/>
          <c:size val="7"/>
          <c:spPr>
            <a:solidFill>
              <a:schemeClr val="bg1"/>
            </a:solidFill>
            <a:ln w="34925">
              <a:solidFill>
                <a:schemeClr val="accent4">
                  <a:lumMod val="60000"/>
                  <a:lumOff val="40000"/>
                </a:schemeClr>
              </a:solidFill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4">
                <a:lumMod val="60000"/>
                <a:lumOff val="40000"/>
              </a:schemeClr>
            </a:solidFill>
            <a:round/>
            <a:tailEnd type="oval"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circle"/>
          <c:size val="7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'Olympic Summer Games'!$H$2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349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</c:marker>
          <c:dPt>
            <c:idx val="0"/>
            <c:marker>
              <c:symbol val="circle"/>
              <c:size val="7"/>
              <c:spPr>
                <a:solidFill>
                  <a:schemeClr val="bg1"/>
                </a:solidFill>
                <a:ln w="34925">
                  <a:solidFill>
                    <a:schemeClr val="accent4">
                      <a:lumMod val="60000"/>
                      <a:lumOff val="40000"/>
                    </a:schemeClr>
                  </a:solidFill>
                </a:ln>
                <a:effectLst>
                  <a:outerShdw blurRad="63500" sx="102000" sy="102000" algn="ctr" rotWithShape="0">
                    <a:prstClr val="black">
                      <a:alpha val="40000"/>
                    </a:prstClr>
                  </a:outerShdw>
                </a:effectLst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  <a:tailEnd type="oval"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672-4B65-8458-2F81BB809786}"/>
              </c:ext>
            </c:extLst>
          </c:dPt>
          <c:cat>
            <c:strRef>
              <c:f>'Olympic Summer Games'!$G$3:$G$8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  <c:pt idx="3">
                  <c:v>Australia</c:v>
                </c:pt>
                <c:pt idx="4">
                  <c:v>South America</c:v>
                </c:pt>
              </c:strCache>
            </c:strRef>
          </c:cat>
          <c:val>
            <c:numRef>
              <c:f>'Olympic Summer Games'!$H$3:$H$8</c:f>
              <c:numCache>
                <c:formatCode>General</c:formatCode>
                <c:ptCount val="5"/>
                <c:pt idx="0">
                  <c:v>16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72-4B65-8458-2F81BB809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6725968"/>
        <c:axId val="650676944"/>
      </c:lineChart>
      <c:catAx>
        <c:axId val="71672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650676944"/>
        <c:crosses val="autoZero"/>
        <c:auto val="1"/>
        <c:lblAlgn val="ctr"/>
        <c:lblOffset val="100"/>
        <c:noMultiLvlLbl val="0"/>
      </c:catAx>
      <c:valAx>
        <c:axId val="6506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167259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'Olympic Summer Games'!$G$20:$G$24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  <c:pt idx="3">
                  <c:v>Australia</c:v>
                </c:pt>
                <c:pt idx="4">
                  <c:v>South America</c:v>
                </c:pt>
              </c:strCache>
            </c:strRef>
          </c:cat>
          <c:val>
            <c:numRef>
              <c:f>'Olympic Summer Games'!$H$20:$H$24</c:f>
              <c:numCache>
                <c:formatCode>General</c:formatCode>
                <c:ptCount val="5"/>
                <c:pt idx="0">
                  <c:v>16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8-41FA-B5B0-1F0E4294E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overlap val="-27"/>
        <c:axId val="812868696"/>
        <c:axId val="812866896"/>
      </c:barChart>
      <c:lineChart>
        <c:grouping val="standard"/>
        <c:varyColors val="0"/>
        <c:ser>
          <c:idx val="1"/>
          <c:order val="1"/>
          <c:tx>
            <c:strRef>
              <c:f>'Olympic Summer Games'!$G$20:$G$24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  <c:pt idx="3">
                  <c:v>Australia</c:v>
                </c:pt>
                <c:pt idx="4">
                  <c:v>South America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349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</c:marker>
          <c:val>
            <c:numRef>
              <c:f>'Olympic Summer Games'!$H$20:$H$24</c:f>
              <c:numCache>
                <c:formatCode>General</c:formatCode>
                <c:ptCount val="5"/>
                <c:pt idx="0">
                  <c:v>16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A8-41FA-B5B0-1F0E4294E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868696"/>
        <c:axId val="812866896"/>
      </c:lineChart>
      <c:catAx>
        <c:axId val="812868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812866896"/>
        <c:crosses val="autoZero"/>
        <c:auto val="1"/>
        <c:lblAlgn val="ctr"/>
        <c:lblOffset val="100"/>
        <c:noMultiLvlLbl val="0"/>
      </c:catAx>
      <c:valAx>
        <c:axId val="81286689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812868696"/>
        <c:crosses val="autoZero"/>
        <c:crossBetween val="between"/>
        <c:min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[Bayocot-Module01-02-TableGraphs.xlsx]Olympic Winter Games!PivotTable4</c:name>
    <c:fmtId val="5"/>
  </c:pivotSource>
  <c:chart>
    <c:autoTitleDeleted val="1"/>
    <c:pivotFmts>
      <c:pivotFmt>
        <c:idx val="0"/>
        <c:spPr>
          <a:solidFill>
            <a:srgbClr val="00B0F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"/>
        <c:spPr>
          <a:solidFill>
            <a:srgbClr val="00B0F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2"/>
        <c:spPr>
          <a:solidFill>
            <a:srgbClr val="00B0F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'Olympic Winter Games'!$H$2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'Olympic Winter Games'!$G$3:$G$6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</c:strCache>
            </c:strRef>
          </c:cat>
          <c:val>
            <c:numRef>
              <c:f>'Olympic Winter Games'!$H$3:$H$6</c:f>
              <c:numCache>
                <c:formatCode>General</c:formatCode>
                <c:ptCount val="3"/>
                <c:pt idx="0">
                  <c:v>14</c:v>
                </c:pt>
                <c:pt idx="1">
                  <c:v>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F-4F1C-9F99-1A2B2BEE0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overlap val="-27"/>
        <c:axId val="539353896"/>
        <c:axId val="539354256"/>
      </c:barChart>
      <c:catAx>
        <c:axId val="53935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539354256"/>
        <c:crosses val="autoZero"/>
        <c:auto val="1"/>
        <c:lblAlgn val="ctr"/>
        <c:lblOffset val="100"/>
        <c:noMultiLvlLbl val="0"/>
      </c:catAx>
      <c:valAx>
        <c:axId val="53935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539353896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[Bayocot-Module01-02-TableGraphs.xlsx]Olympic Winter Games!PivotTable8</c:name>
    <c:fmtId val="3"/>
  </c:pivotSource>
  <c:chart>
    <c:autoTitleDeleted val="1"/>
    <c:pivotFmts>
      <c:pivotFmt>
        <c:idx val="0"/>
        <c:spPr>
          <a:solidFill>
            <a:srgbClr val="00B0F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"/>
        <c:spPr>
          <a:solidFill>
            <a:srgbClr val="00B0F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2"/>
        <c:spPr>
          <a:solidFill>
            <a:srgbClr val="00B0F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'Olympic Winter Games'!$H$8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'Olympic Winter Games'!$G$9:$G$12</c:f>
              <c:strCache>
                <c:ptCount val="3"/>
                <c:pt idx="0">
                  <c:v>Asia</c:v>
                </c:pt>
                <c:pt idx="1">
                  <c:v>North America</c:v>
                </c:pt>
                <c:pt idx="2">
                  <c:v>Europe</c:v>
                </c:pt>
              </c:strCache>
            </c:strRef>
          </c:cat>
          <c:val>
            <c:numRef>
              <c:f>'Olympic Winter Games'!$H$9:$H$12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B-4A26-A22E-27F62A127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axId val="539351376"/>
        <c:axId val="539356776"/>
      </c:barChart>
      <c:catAx>
        <c:axId val="53935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539356776"/>
        <c:crosses val="autoZero"/>
        <c:auto val="1"/>
        <c:lblAlgn val="ctr"/>
        <c:lblOffset val="100"/>
        <c:noMultiLvlLbl val="0"/>
      </c:catAx>
      <c:valAx>
        <c:axId val="539356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539351376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[Bayocot-Module01-02-TableGraphs.xlsx]Olympic Winter Games!PivotTable4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1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'Olympic Winter Games'!$H$2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F6-4BA7-A32F-4B13D4BCB684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F6-4BA7-A32F-4B13D4BCB684}"/>
              </c:ext>
            </c:extLst>
          </c:dPt>
          <c:dPt>
            <c:idx val="2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F6-4BA7-A32F-4B13D4BCB6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'Olympic Winter Games'!$G$3:$G$6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</c:strCache>
            </c:strRef>
          </c:cat>
          <c:val>
            <c:numRef>
              <c:f>'Olympic Winter Games'!$H$3:$H$6</c:f>
              <c:numCache>
                <c:formatCode>General</c:formatCode>
                <c:ptCount val="3"/>
                <c:pt idx="0">
                  <c:v>14</c:v>
                </c:pt>
                <c:pt idx="1">
                  <c:v>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F6-4BA7-A32F-4B13D4BCB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420332096216284"/>
          <c:y val="0.64101715662974823"/>
          <c:w val="0.23461422529694129"/>
          <c:h val="0.233037389020882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[Bayocot-Module01-02-TableGraphs.xlsx]Olympic Games Comparison!PivotTable6</c:name>
    <c:fmtId val="10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"/>
        <c:spPr>
          <a:solidFill>
            <a:srgbClr val="00B0F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3"/>
        <c:spPr>
          <a:solidFill>
            <a:srgbClr val="00B0F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50231624272772E-2"/>
          <c:y val="3.9785415071239248E-2"/>
          <c:w val="0.92836702325169895"/>
          <c:h val="0.798360282707128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'Olympic Games Comparison'!$I$2:$I$3</c:f>
              <c:strCache>
                <c:ptCount val="1"/>
                <c:pt idx="0">
                  <c:v>Summer Games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'Olympic Games Comparison'!$H$4:$H$9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  <c:pt idx="3">
                  <c:v>Australia</c:v>
                </c:pt>
                <c:pt idx="4">
                  <c:v>South America</c:v>
                </c:pt>
              </c:strCache>
            </c:strRef>
          </c:cat>
          <c:val>
            <c:numRef>
              <c:f>'Olympic Games Comparison'!$I$4:$I$9</c:f>
              <c:numCache>
                <c:formatCode>General</c:formatCode>
                <c:ptCount val="5"/>
                <c:pt idx="0">
                  <c:v>16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C-45CD-AF9E-C7A7294CAB63}"/>
            </c:ext>
          </c:extLst>
        </c:ser>
        <c:ser>
          <c:idx val="1"/>
          <c:order val="1"/>
          <c:tx>
            <c:strRef>
              <c:f>'Olympic Games Comparison'!$J$2:$J$3</c:f>
              <c:strCache>
                <c:ptCount val="1"/>
                <c:pt idx="0">
                  <c:v>Winter Games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'Olympic Games Comparison'!$H$4:$H$9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  <c:pt idx="3">
                  <c:v>Australia</c:v>
                </c:pt>
                <c:pt idx="4">
                  <c:v>South America</c:v>
                </c:pt>
              </c:strCache>
            </c:strRef>
          </c:cat>
          <c:val>
            <c:numRef>
              <c:f>'Olympic Games Comparison'!$J$4:$J$9</c:f>
              <c:numCache>
                <c:formatCode>General</c:formatCode>
                <c:ptCount val="5"/>
                <c:pt idx="0">
                  <c:v>14</c:v>
                </c:pt>
                <c:pt idx="1">
                  <c:v>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C-45CD-AF9E-C7A7294CA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overlap val="-27"/>
        <c:axId val="796954384"/>
        <c:axId val="796950424"/>
      </c:barChart>
      <c:catAx>
        <c:axId val="79695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96950424"/>
        <c:crosses val="autoZero"/>
        <c:auto val="1"/>
        <c:lblAlgn val="ctr"/>
        <c:lblOffset val="100"/>
        <c:noMultiLvlLbl val="0"/>
      </c:catAx>
      <c:valAx>
        <c:axId val="79695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9695438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07272846563132"/>
          <c:y val="0.92879834661270055"/>
          <c:w val="0.36476604738923768"/>
          <c:h val="5.3850712705730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'Average Temperature'!$C$2</c:f>
              <c:strCache>
                <c:ptCount val="1"/>
                <c:pt idx="0">
                  <c:v>Average 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25400">
                <a:solidFill>
                  <a:schemeClr val="accent2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'Average Temperature'!$B$3:$B$14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'Average Temperature'!$C$3:$C$14</c:f>
              <c:numCache>
                <c:formatCode>General</c:formatCode>
                <c:ptCount val="12"/>
                <c:pt idx="0">
                  <c:v>69</c:v>
                </c:pt>
                <c:pt idx="1">
                  <c:v>73</c:v>
                </c:pt>
                <c:pt idx="2">
                  <c:v>78</c:v>
                </c:pt>
                <c:pt idx="3">
                  <c:v>86</c:v>
                </c:pt>
                <c:pt idx="4">
                  <c:v>95</c:v>
                </c:pt>
                <c:pt idx="5">
                  <c:v>103</c:v>
                </c:pt>
                <c:pt idx="6">
                  <c:v>105</c:v>
                </c:pt>
                <c:pt idx="7">
                  <c:v>103</c:v>
                </c:pt>
                <c:pt idx="8">
                  <c:v>100</c:v>
                </c:pt>
                <c:pt idx="9">
                  <c:v>89</c:v>
                </c:pt>
                <c:pt idx="10">
                  <c:v>78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D1-41DB-AF3A-C6FE37759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7711935"/>
        <c:axId val="22797295"/>
      </c:lineChart>
      <c:catAx>
        <c:axId val="787711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en-PH" sz="1000" b="1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49987996454998629"/>
              <c:y val="0.885259181060560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22797295"/>
        <c:crosses val="autoZero"/>
        <c:auto val="1"/>
        <c:lblAlgn val="ctr"/>
        <c:lblOffset val="100"/>
        <c:noMultiLvlLbl val="0"/>
      </c:catAx>
      <c:valAx>
        <c:axId val="22797295"/>
        <c:scaling>
          <c:orientation val="minMax"/>
          <c:max val="109"/>
          <c:min val="60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en-PH" sz="1000" b="1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Average High Temperature</a:t>
                </a:r>
              </a:p>
            </c:rich>
          </c:tx>
          <c:layout>
            <c:manualLayout>
              <c:xMode val="edge"/>
              <c:yMode val="edge"/>
              <c:x val="1.2403988732099433E-2"/>
              <c:y val="0.21015183701690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8771193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[Bayocot-Module01-02-TableGraphs.xlsx]Savings!PivotTable1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circle"/>
          <c:size val="7"/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Savings!$G$15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25400">
                <a:solidFill>
                  <a:schemeClr val="accent2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Savings!$F$16:$F$26</c:f>
              <c:strCache>
                <c:ptCount val="10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</c:strCache>
            </c:strRef>
          </c:cat>
          <c:val>
            <c:numRef>
              <c:f>Savings!$G$16:$G$26</c:f>
              <c:numCache>
                <c:formatCode>General</c:formatCode>
                <c:ptCount val="10"/>
                <c:pt idx="0">
                  <c:v>5500</c:v>
                </c:pt>
                <c:pt idx="1">
                  <c:v>11000</c:v>
                </c:pt>
                <c:pt idx="2">
                  <c:v>16500</c:v>
                </c:pt>
                <c:pt idx="3">
                  <c:v>22000</c:v>
                </c:pt>
                <c:pt idx="4">
                  <c:v>27500</c:v>
                </c:pt>
                <c:pt idx="5">
                  <c:v>33000</c:v>
                </c:pt>
                <c:pt idx="6">
                  <c:v>38500</c:v>
                </c:pt>
                <c:pt idx="7">
                  <c:v>44000</c:v>
                </c:pt>
                <c:pt idx="8">
                  <c:v>49500</c:v>
                </c:pt>
                <c:pt idx="9">
                  <c:v>55000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27-4A9D-8BAA-9DE557A69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2788975"/>
        <c:axId val="1694003407"/>
      </c:lineChart>
      <c:catAx>
        <c:axId val="1692788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en-PH" b="1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94003407"/>
        <c:crosses val="autoZero"/>
        <c:auto val="1"/>
        <c:lblAlgn val="ctr"/>
        <c:lblOffset val="100"/>
        <c:noMultiLvlLbl val="0"/>
      </c:catAx>
      <c:valAx>
        <c:axId val="169400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en-PH" b="1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Savings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92788975"/>
        <c:crosses val="autoZero"/>
        <c:crossBetween val="between"/>
        <c:majorUnit val="150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[Bayocot-Module01-02-TableGraphs.xlsx]Savings!PivotTable3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7"/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7"/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7"/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circle"/>
          <c:size val="7"/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Savings!$G$2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25400">
                <a:solidFill>
                  <a:schemeClr val="accent2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Savings!$F$3:$F$13</c:f>
              <c:strCache>
                <c:ptCount val="10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</c:strCache>
            </c:strRef>
          </c:cat>
          <c:val>
            <c:numRef>
              <c:f>Savings!$G$3:$G$13</c:f>
              <c:numCache>
                <c:formatCode>General</c:formatCode>
                <c:ptCount val="10"/>
                <c:pt idx="0">
                  <c:v>5500</c:v>
                </c:pt>
                <c:pt idx="1">
                  <c:v>5500</c:v>
                </c:pt>
                <c:pt idx="2">
                  <c:v>5500</c:v>
                </c:pt>
                <c:pt idx="3">
                  <c:v>5500</c:v>
                </c:pt>
                <c:pt idx="4">
                  <c:v>5500</c:v>
                </c:pt>
                <c:pt idx="5">
                  <c:v>5500</c:v>
                </c:pt>
                <c:pt idx="6">
                  <c:v>5500</c:v>
                </c:pt>
                <c:pt idx="7">
                  <c:v>5500</c:v>
                </c:pt>
                <c:pt idx="8">
                  <c:v>5500</c:v>
                </c:pt>
                <c:pt idx="9">
                  <c:v>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80-4103-A0E5-0575C2A72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2788975"/>
        <c:axId val="1694003407"/>
      </c:lineChart>
      <c:catAx>
        <c:axId val="1692788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en-PH" b="1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94003407"/>
        <c:crosses val="autoZero"/>
        <c:auto val="1"/>
        <c:lblAlgn val="ctr"/>
        <c:lblOffset val="100"/>
        <c:noMultiLvlLbl val="0"/>
      </c:catAx>
      <c:valAx>
        <c:axId val="1694003407"/>
        <c:scaling>
          <c:orientation val="minMax"/>
          <c:max val="5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en-PH" b="1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Savings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92788975"/>
        <c:crosses val="autoZero"/>
        <c:crossBetween val="between"/>
        <c:majorUnit val="1100"/>
        <c:minorUnit val="1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'CoffeeShop Revenue'!$C$17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F99868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'CoffeeShop Revenue'!$B$18:$B$29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'CoffeeShop Revenue'!$C$18:$C$29</c:f>
              <c:numCache>
                <c:formatCode>_-[$₱-464]* #,##0_-;\-[$₱-464]* #,##0_-;_-[$₱-464]* "-"??_-;_-@_-</c:formatCode>
                <c:ptCount val="12"/>
                <c:pt idx="0">
                  <c:v>52000</c:v>
                </c:pt>
                <c:pt idx="1">
                  <c:v>48000</c:v>
                </c:pt>
                <c:pt idx="2">
                  <c:v>60000</c:v>
                </c:pt>
                <c:pt idx="3">
                  <c:v>64000</c:v>
                </c:pt>
                <c:pt idx="4">
                  <c:v>72000</c:v>
                </c:pt>
                <c:pt idx="5">
                  <c:v>81000</c:v>
                </c:pt>
                <c:pt idx="6">
                  <c:v>89000</c:v>
                </c:pt>
                <c:pt idx="7">
                  <c:v>86000</c:v>
                </c:pt>
                <c:pt idx="8">
                  <c:v>71000</c:v>
                </c:pt>
                <c:pt idx="9">
                  <c:v>75000</c:v>
                </c:pt>
                <c:pt idx="10">
                  <c:v>98000</c:v>
                </c:pt>
                <c:pt idx="11">
                  <c:v>115000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7-4384-9F08-8445ECA6F008}"/>
            </c:ext>
          </c:extLst>
        </c:ser>
        <c:ser>
          <c:idx val="1"/>
          <c:order val="1"/>
          <c:tx>
            <c:strRef>
              <c:f>'CoffeeShop Revenue'!$D$17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F6DE91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'CoffeeShop Revenue'!$B$18:$B$29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'CoffeeShop Revenue'!$D$18:$D$29</c:f>
              <c:numCache>
                <c:formatCode>_-[$₱-464]* #,##0_-;\-[$₱-464]* #,##0_-;_-[$₱-464]* "-"??_-;_-@_-</c:formatCode>
                <c:ptCount val="12"/>
                <c:pt idx="0">
                  <c:v>95000</c:v>
                </c:pt>
                <c:pt idx="1">
                  <c:v>82000</c:v>
                </c:pt>
                <c:pt idx="2">
                  <c:v>105000</c:v>
                </c:pt>
                <c:pt idx="3">
                  <c:v>112000</c:v>
                </c:pt>
                <c:pt idx="4">
                  <c:v>125000</c:v>
                </c:pt>
                <c:pt idx="5">
                  <c:v>139000</c:v>
                </c:pt>
                <c:pt idx="6">
                  <c:v>151000</c:v>
                </c:pt>
                <c:pt idx="7">
                  <c:v>147000</c:v>
                </c:pt>
                <c:pt idx="8">
                  <c:v>123000</c:v>
                </c:pt>
                <c:pt idx="9">
                  <c:v>131000</c:v>
                </c:pt>
                <c:pt idx="10">
                  <c:v>188000</c:v>
                </c:pt>
                <c:pt idx="11">
                  <c:v>205000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B7-4384-9F08-8445ECA6F008}"/>
            </c:ext>
          </c:extLst>
        </c:ser>
        <c:ser>
          <c:idx val="2"/>
          <c:order val="2"/>
          <c:tx>
            <c:strRef>
              <c:f>'CoffeeShop Revenue'!$E$17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ACC4D8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'CoffeeShop Revenue'!$B$18:$B$29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'CoffeeShop Revenue'!$E$18:$E$29</c:f>
              <c:numCache>
                <c:formatCode>_-[$₱-464]* #,##0_-;\-[$₱-464]* #,##0_-;_-[$₱-464]* "-"??_-;_-@_-</c:formatCode>
                <c:ptCount val="12"/>
                <c:pt idx="0">
                  <c:v>138000</c:v>
                </c:pt>
                <c:pt idx="1">
                  <c:v>121000</c:v>
                </c:pt>
                <c:pt idx="2">
                  <c:v>142000</c:v>
                </c:pt>
                <c:pt idx="3">
                  <c:v>153000</c:v>
                </c:pt>
                <c:pt idx="4">
                  <c:v>168000</c:v>
                </c:pt>
                <c:pt idx="5">
                  <c:v>189000</c:v>
                </c:pt>
                <c:pt idx="6">
                  <c:v>201000</c:v>
                </c:pt>
                <c:pt idx="7">
                  <c:v>198000</c:v>
                </c:pt>
                <c:pt idx="8">
                  <c:v>162000</c:v>
                </c:pt>
                <c:pt idx="9">
                  <c:v>175000</c:v>
                </c:pt>
                <c:pt idx="10">
                  <c:v>240000</c:v>
                </c:pt>
                <c:pt idx="11">
                  <c:v>275000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B7-4384-9F08-8445ECA6F008}"/>
            </c:ext>
          </c:extLst>
        </c:ser>
        <c:ser>
          <c:idx val="3"/>
          <c:order val="3"/>
          <c:tx>
            <c:strRef>
              <c:f>'CoffeeShop Revenue'!$F$17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9899F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'CoffeeShop Revenue'!$B$18:$B$29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'CoffeeShop Revenue'!$F$18:$F$29</c:f>
              <c:numCache>
                <c:formatCode>_-[$₱-464]* #,##0_-;\-[$₱-464]* #,##0_-;_-[$₱-464]* "-"??_-;_-@_-</c:formatCode>
                <c:ptCount val="12"/>
                <c:pt idx="0">
                  <c:v>197000</c:v>
                </c:pt>
                <c:pt idx="1">
                  <c:v>170500</c:v>
                </c:pt>
                <c:pt idx="2">
                  <c:v>206000</c:v>
                </c:pt>
                <c:pt idx="3">
                  <c:v>215000</c:v>
                </c:pt>
                <c:pt idx="4">
                  <c:v>237500</c:v>
                </c:pt>
                <c:pt idx="5">
                  <c:v>269000</c:v>
                </c:pt>
                <c:pt idx="6">
                  <c:v>280000</c:v>
                </c:pt>
                <c:pt idx="7">
                  <c:v>273500</c:v>
                </c:pt>
                <c:pt idx="8">
                  <c:v>240000</c:v>
                </c:pt>
                <c:pt idx="9">
                  <c:v>253000</c:v>
                </c:pt>
                <c:pt idx="10">
                  <c:v>289500</c:v>
                </c:pt>
                <c:pt idx="11">
                  <c:v>347000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B7-4384-9F08-8445ECA6F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6"/>
        <c:axId val="2012853568"/>
        <c:axId val="1832549888"/>
      </c:barChart>
      <c:catAx>
        <c:axId val="201285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832549888"/>
        <c:crosses val="autoZero"/>
        <c:auto val="1"/>
        <c:lblAlgn val="ctr"/>
        <c:lblOffset val="100"/>
        <c:noMultiLvlLbl val="0"/>
      </c:catAx>
      <c:valAx>
        <c:axId val="1832549888"/>
        <c:scaling>
          <c:orientation val="minMax"/>
          <c:max val="35000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-[$₱-464]* #,##0_-;\-[$₱-464]* #,##0_-;_-[$₱-464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201285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478665135846716"/>
          <c:y val="0.88609871682706343"/>
          <c:w val="0.54639985536373936"/>
          <c:h val="8.149387576552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'CoffeeShop Revenue'!$C$17</c:f>
              <c:strCache>
                <c:ptCount val="1"/>
                <c:pt idx="0">
                  <c:v>2019</c:v>
                </c:pt>
              </c:strCache>
            </c:strRef>
          </c:tx>
          <c:spPr>
            <a:ln w="38100" cap="rnd">
              <a:solidFill>
                <a:srgbClr val="F99868"/>
              </a:solidFill>
              <a:round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38100">
                <a:solidFill>
                  <a:srgbClr val="F99868"/>
                </a:solidFill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'CoffeeShop Revenue'!$B$18:$B$29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'CoffeeShop Revenue'!$C$18:$C$29</c:f>
              <c:numCache>
                <c:formatCode>_-[$₱-464]* #,##0_-;\-[$₱-464]* #,##0_-;_-[$₱-464]* "-"??_-;_-@_-</c:formatCode>
                <c:ptCount val="12"/>
                <c:pt idx="0">
                  <c:v>52000</c:v>
                </c:pt>
                <c:pt idx="1">
                  <c:v>48000</c:v>
                </c:pt>
                <c:pt idx="2">
                  <c:v>60000</c:v>
                </c:pt>
                <c:pt idx="3">
                  <c:v>64000</c:v>
                </c:pt>
                <c:pt idx="4">
                  <c:v>72000</c:v>
                </c:pt>
                <c:pt idx="5">
                  <c:v>81000</c:v>
                </c:pt>
                <c:pt idx="6">
                  <c:v>89000</c:v>
                </c:pt>
                <c:pt idx="7">
                  <c:v>86000</c:v>
                </c:pt>
                <c:pt idx="8">
                  <c:v>71000</c:v>
                </c:pt>
                <c:pt idx="9">
                  <c:v>75000</c:v>
                </c:pt>
                <c:pt idx="10">
                  <c:v>98000</c:v>
                </c:pt>
                <c:pt idx="11">
                  <c:v>115000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1-4940-AA79-B2687B54C189}"/>
            </c:ext>
          </c:extLst>
        </c:ser>
        <c:ser>
          <c:idx val="1"/>
          <c:order val="1"/>
          <c:tx>
            <c:strRef>
              <c:f>'CoffeeShop Revenue'!$D$17</c:f>
              <c:strCache>
                <c:ptCount val="1"/>
                <c:pt idx="0">
                  <c:v>2020</c:v>
                </c:pt>
              </c:strCache>
            </c:strRef>
          </c:tx>
          <c:spPr>
            <a:ln w="44450" cap="rnd">
              <a:solidFill>
                <a:srgbClr val="F6DE91"/>
              </a:solidFill>
              <a:round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38100">
                <a:solidFill>
                  <a:srgbClr val="F6DE91"/>
                </a:solidFill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'CoffeeShop Revenue'!$B$18:$B$29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'CoffeeShop Revenue'!$D$18:$D$29</c:f>
              <c:numCache>
                <c:formatCode>_-[$₱-464]* #,##0_-;\-[$₱-464]* #,##0_-;_-[$₱-464]* "-"??_-;_-@_-</c:formatCode>
                <c:ptCount val="12"/>
                <c:pt idx="0">
                  <c:v>95000</c:v>
                </c:pt>
                <c:pt idx="1">
                  <c:v>82000</c:v>
                </c:pt>
                <c:pt idx="2">
                  <c:v>105000</c:v>
                </c:pt>
                <c:pt idx="3">
                  <c:v>112000</c:v>
                </c:pt>
                <c:pt idx="4">
                  <c:v>125000</c:v>
                </c:pt>
                <c:pt idx="5">
                  <c:v>139000</c:v>
                </c:pt>
                <c:pt idx="6">
                  <c:v>151000</c:v>
                </c:pt>
                <c:pt idx="7">
                  <c:v>147000</c:v>
                </c:pt>
                <c:pt idx="8">
                  <c:v>123000</c:v>
                </c:pt>
                <c:pt idx="9">
                  <c:v>131000</c:v>
                </c:pt>
                <c:pt idx="10">
                  <c:v>188000</c:v>
                </c:pt>
                <c:pt idx="11">
                  <c:v>205000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61-4940-AA79-B2687B54C189}"/>
            </c:ext>
          </c:extLst>
        </c:ser>
        <c:ser>
          <c:idx val="2"/>
          <c:order val="2"/>
          <c:tx>
            <c:strRef>
              <c:f>'CoffeeShop Revenue'!$E$17</c:f>
              <c:strCache>
                <c:ptCount val="1"/>
                <c:pt idx="0">
                  <c:v>2021</c:v>
                </c:pt>
              </c:strCache>
            </c:strRef>
          </c:tx>
          <c:spPr>
            <a:ln w="44450" cap="rnd">
              <a:solidFill>
                <a:srgbClr val="ACC4D8"/>
              </a:solidFill>
              <a:round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38100">
                <a:solidFill>
                  <a:srgbClr val="9EB7CE"/>
                </a:solidFill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'CoffeeShop Revenue'!$B$18:$B$29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'CoffeeShop Revenue'!$E$18:$E$29</c:f>
              <c:numCache>
                <c:formatCode>_-[$₱-464]* #,##0_-;\-[$₱-464]* #,##0_-;_-[$₱-464]* "-"??_-;_-@_-</c:formatCode>
                <c:ptCount val="12"/>
                <c:pt idx="0">
                  <c:v>138000</c:v>
                </c:pt>
                <c:pt idx="1">
                  <c:v>121000</c:v>
                </c:pt>
                <c:pt idx="2">
                  <c:v>142000</c:v>
                </c:pt>
                <c:pt idx="3">
                  <c:v>153000</c:v>
                </c:pt>
                <c:pt idx="4">
                  <c:v>168000</c:v>
                </c:pt>
                <c:pt idx="5">
                  <c:v>189000</c:v>
                </c:pt>
                <c:pt idx="6">
                  <c:v>201000</c:v>
                </c:pt>
                <c:pt idx="7">
                  <c:v>198000</c:v>
                </c:pt>
                <c:pt idx="8">
                  <c:v>162000</c:v>
                </c:pt>
                <c:pt idx="9">
                  <c:v>175000</c:v>
                </c:pt>
                <c:pt idx="10">
                  <c:v>240000</c:v>
                </c:pt>
                <c:pt idx="11">
                  <c:v>275000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61-4940-AA79-B2687B54C189}"/>
            </c:ext>
          </c:extLst>
        </c:ser>
        <c:ser>
          <c:idx val="3"/>
          <c:order val="3"/>
          <c:tx>
            <c:strRef>
              <c:f>'CoffeeShop Revenue'!$F$17</c:f>
              <c:strCache>
                <c:ptCount val="1"/>
                <c:pt idx="0">
                  <c:v>2022</c:v>
                </c:pt>
              </c:strCache>
            </c:strRef>
          </c:tx>
          <c:spPr>
            <a:ln w="44450" cap="rnd">
              <a:solidFill>
                <a:srgbClr val="69899F"/>
              </a:solidFill>
              <a:round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38100">
                <a:solidFill>
                  <a:srgbClr val="69899F"/>
                </a:solidFill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'CoffeeShop Revenue'!$B$18:$B$29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'CoffeeShop Revenue'!$F$18:$F$29</c:f>
              <c:numCache>
                <c:formatCode>_-[$₱-464]* #,##0_-;\-[$₱-464]* #,##0_-;_-[$₱-464]* "-"??_-;_-@_-</c:formatCode>
                <c:ptCount val="12"/>
                <c:pt idx="0">
                  <c:v>197000</c:v>
                </c:pt>
                <c:pt idx="1">
                  <c:v>170500</c:v>
                </c:pt>
                <c:pt idx="2">
                  <c:v>206000</c:v>
                </c:pt>
                <c:pt idx="3">
                  <c:v>215000</c:v>
                </c:pt>
                <c:pt idx="4">
                  <c:v>237500</c:v>
                </c:pt>
                <c:pt idx="5">
                  <c:v>269000</c:v>
                </c:pt>
                <c:pt idx="6">
                  <c:v>280000</c:v>
                </c:pt>
                <c:pt idx="7">
                  <c:v>273500</c:v>
                </c:pt>
                <c:pt idx="8">
                  <c:v>240000</c:v>
                </c:pt>
                <c:pt idx="9">
                  <c:v>253000</c:v>
                </c:pt>
                <c:pt idx="10">
                  <c:v>289500</c:v>
                </c:pt>
                <c:pt idx="11">
                  <c:v>347000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61-4940-AA79-B2687B54C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4405744"/>
        <c:axId val="1941704352"/>
      </c:lineChart>
      <c:catAx>
        <c:axId val="190440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941704352"/>
        <c:crosses val="autoZero"/>
        <c:auto val="1"/>
        <c:lblAlgn val="ctr"/>
        <c:lblOffset val="100"/>
        <c:noMultiLvlLbl val="0"/>
      </c:catAx>
      <c:valAx>
        <c:axId val="1941704352"/>
        <c:scaling>
          <c:orientation val="minMax"/>
          <c:max val="35000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-[$₱-464]* #,##0_-;\-[$₱-464]* #,##0_-;_-[$₱-464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90440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221280289598109"/>
          <c:y val="0.92555504305043046"/>
          <c:w val="0.69606050531914898"/>
          <c:h val="5.49185116851168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'CoffeeShop Revenue'!$C$2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'CoffeeShop Revenue'!$B$3:$B$14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'CoffeeShop Revenue'!$C$3:$C$14</c:f>
              <c:numCache>
                <c:formatCode>_-[$₱-464]* #,##0_-;\-[$₱-464]* #,##0_-;_-[$₱-464]* "-"??_-;_-@_-</c:formatCode>
                <c:ptCount val="12"/>
                <c:pt idx="0">
                  <c:v>482000</c:v>
                </c:pt>
                <c:pt idx="1">
                  <c:v>421500</c:v>
                </c:pt>
                <c:pt idx="2">
                  <c:v>513000</c:v>
                </c:pt>
                <c:pt idx="3">
                  <c:v>544000</c:v>
                </c:pt>
                <c:pt idx="4">
                  <c:v>602500</c:v>
                </c:pt>
                <c:pt idx="5">
                  <c:v>678000</c:v>
                </c:pt>
                <c:pt idx="6">
                  <c:v>721000</c:v>
                </c:pt>
                <c:pt idx="7">
                  <c:v>704500</c:v>
                </c:pt>
                <c:pt idx="8">
                  <c:v>596000</c:v>
                </c:pt>
                <c:pt idx="9">
                  <c:v>634000</c:v>
                </c:pt>
                <c:pt idx="10">
                  <c:v>815500</c:v>
                </c:pt>
                <c:pt idx="11">
                  <c:v>942000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F-487B-AA50-E5CD5DFF9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6"/>
        <c:axId val="647567896"/>
        <c:axId val="647569336"/>
      </c:barChart>
      <c:catAx>
        <c:axId val="647567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647569336"/>
        <c:crosses val="autoZero"/>
        <c:auto val="1"/>
        <c:lblAlgn val="ctr"/>
        <c:lblOffset val="100"/>
        <c:noMultiLvlLbl val="0"/>
      </c:catAx>
      <c:valAx>
        <c:axId val="64756933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-[$₱-464]* #,##0_-;\-[$₱-464]* #,##0_-;_-[$₱-464]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647567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'CoffeeShop Revenue'!$D$32</c:f>
              <c:strCache>
                <c:ptCount val="1"/>
                <c:pt idx="0">
                  <c:v>Revenue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31750">
                <a:solidFill>
                  <a:schemeClr val="accent4">
                    <a:lumMod val="60000"/>
                    <a:lumOff val="40000"/>
                  </a:schemeClr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</c:marker>
          <c:cat>
            <c:multiLvlStrRef>
              <c:f>'CoffeeShop Revenue'!$B$33:$C$80</c:f>
              <c:multiLvlStrCache>
                <c:ptCount val="48"/>
                <c:lvl>
                  <c:pt idx="0">
                    <c:v>2019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2019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2020</c:v>
                  </c:pt>
                  <c:pt idx="14">
                    <c:v>2020</c:v>
                  </c:pt>
                  <c:pt idx="15">
                    <c:v>2020</c:v>
                  </c:pt>
                  <c:pt idx="16">
                    <c:v>2020</c:v>
                  </c:pt>
                  <c:pt idx="17">
                    <c:v>2020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2021</c:v>
                  </c:pt>
                  <c:pt idx="26">
                    <c:v>2021</c:v>
                  </c:pt>
                  <c:pt idx="27">
                    <c:v>2021</c:v>
                  </c:pt>
                  <c:pt idx="28">
                    <c:v>2021</c:v>
                  </c:pt>
                  <c:pt idx="29">
                    <c:v>2021</c:v>
                  </c:pt>
                  <c:pt idx="30">
                    <c:v>2021</c:v>
                  </c:pt>
                  <c:pt idx="31">
                    <c:v>2021</c:v>
                  </c:pt>
                  <c:pt idx="32">
                    <c:v>2021</c:v>
                  </c:pt>
                  <c:pt idx="33">
                    <c:v>2021</c:v>
                  </c:pt>
                  <c:pt idx="34">
                    <c:v>2021</c:v>
                  </c:pt>
                  <c:pt idx="35">
                    <c:v>2021</c:v>
                  </c:pt>
                  <c:pt idx="36">
                    <c:v>2022</c:v>
                  </c:pt>
                  <c:pt idx="37">
                    <c:v>2022</c:v>
                  </c:pt>
                  <c:pt idx="38">
                    <c:v>2022</c:v>
                  </c:pt>
                  <c:pt idx="39">
                    <c:v>2022</c:v>
                  </c:pt>
                  <c:pt idx="40">
                    <c:v>2022</c:v>
                  </c:pt>
                  <c:pt idx="41">
                    <c:v>2022</c:v>
                  </c:pt>
                  <c:pt idx="42">
                    <c:v>2022</c:v>
                  </c:pt>
                  <c:pt idx="43">
                    <c:v>2022</c:v>
                  </c:pt>
                  <c:pt idx="44">
                    <c:v>2022</c:v>
                  </c:pt>
                  <c:pt idx="45">
                    <c:v>2022</c:v>
                  </c:pt>
                  <c:pt idx="46">
                    <c:v>2022</c:v>
                  </c:pt>
                  <c:pt idx="47">
                    <c:v>2022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</c:multiLvlStrCache>
            </c:multiLvlStrRef>
          </c:cat>
          <c:val>
            <c:numRef>
              <c:f>'CoffeeShop Revenue'!$D$33:$D$80</c:f>
              <c:numCache>
                <c:formatCode>_-[$₱-464]* #,##0_-;\-[$₱-464]* #,##0_-;_-[$₱-464]* "-"??_-;_-@_-</c:formatCode>
                <c:ptCount val="48"/>
                <c:pt idx="0">
                  <c:v>52000</c:v>
                </c:pt>
                <c:pt idx="1">
                  <c:v>48000</c:v>
                </c:pt>
                <c:pt idx="2">
                  <c:v>60000</c:v>
                </c:pt>
                <c:pt idx="3">
                  <c:v>64000</c:v>
                </c:pt>
                <c:pt idx="4">
                  <c:v>72000</c:v>
                </c:pt>
                <c:pt idx="5">
                  <c:v>81000</c:v>
                </c:pt>
                <c:pt idx="6">
                  <c:v>89000</c:v>
                </c:pt>
                <c:pt idx="7">
                  <c:v>86000</c:v>
                </c:pt>
                <c:pt idx="8">
                  <c:v>71000</c:v>
                </c:pt>
                <c:pt idx="9">
                  <c:v>75000</c:v>
                </c:pt>
                <c:pt idx="10">
                  <c:v>98000</c:v>
                </c:pt>
                <c:pt idx="11">
                  <c:v>115000</c:v>
                </c:pt>
                <c:pt idx="12">
                  <c:v>95000</c:v>
                </c:pt>
                <c:pt idx="13">
                  <c:v>82000</c:v>
                </c:pt>
                <c:pt idx="14">
                  <c:v>105000</c:v>
                </c:pt>
                <c:pt idx="15">
                  <c:v>112000</c:v>
                </c:pt>
                <c:pt idx="16">
                  <c:v>125000</c:v>
                </c:pt>
                <c:pt idx="17">
                  <c:v>139000</c:v>
                </c:pt>
                <c:pt idx="18">
                  <c:v>151000</c:v>
                </c:pt>
                <c:pt idx="19">
                  <c:v>147000</c:v>
                </c:pt>
                <c:pt idx="20">
                  <c:v>123000</c:v>
                </c:pt>
                <c:pt idx="21">
                  <c:v>131000</c:v>
                </c:pt>
                <c:pt idx="22">
                  <c:v>188000</c:v>
                </c:pt>
                <c:pt idx="23">
                  <c:v>205000</c:v>
                </c:pt>
                <c:pt idx="24">
                  <c:v>138000</c:v>
                </c:pt>
                <c:pt idx="25">
                  <c:v>121000</c:v>
                </c:pt>
                <c:pt idx="26">
                  <c:v>142000</c:v>
                </c:pt>
                <c:pt idx="27">
                  <c:v>153000</c:v>
                </c:pt>
                <c:pt idx="28">
                  <c:v>168000</c:v>
                </c:pt>
                <c:pt idx="29">
                  <c:v>189000</c:v>
                </c:pt>
                <c:pt idx="30">
                  <c:v>201000</c:v>
                </c:pt>
                <c:pt idx="31">
                  <c:v>198000</c:v>
                </c:pt>
                <c:pt idx="32">
                  <c:v>162000</c:v>
                </c:pt>
                <c:pt idx="33">
                  <c:v>175000</c:v>
                </c:pt>
                <c:pt idx="34">
                  <c:v>240000</c:v>
                </c:pt>
                <c:pt idx="35">
                  <c:v>275000</c:v>
                </c:pt>
                <c:pt idx="36">
                  <c:v>197000</c:v>
                </c:pt>
                <c:pt idx="37">
                  <c:v>170500</c:v>
                </c:pt>
                <c:pt idx="38">
                  <c:v>206000</c:v>
                </c:pt>
                <c:pt idx="39">
                  <c:v>215000</c:v>
                </c:pt>
                <c:pt idx="40">
                  <c:v>237500</c:v>
                </c:pt>
                <c:pt idx="41">
                  <c:v>269000</c:v>
                </c:pt>
                <c:pt idx="42">
                  <c:v>280000</c:v>
                </c:pt>
                <c:pt idx="43">
                  <c:v>273500</c:v>
                </c:pt>
                <c:pt idx="44">
                  <c:v>240000</c:v>
                </c:pt>
                <c:pt idx="45">
                  <c:v>253000</c:v>
                </c:pt>
                <c:pt idx="46">
                  <c:v>289500</c:v>
                </c:pt>
                <c:pt idx="47">
                  <c:v>347000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4-4974-BC55-619AA129C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969296"/>
        <c:axId val="850969656"/>
      </c:lineChart>
      <c:catAx>
        <c:axId val="85096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850969656"/>
        <c:crosses val="autoZero"/>
        <c:auto val="0"/>
        <c:lblAlgn val="ctr"/>
        <c:lblOffset val="0"/>
        <c:tickLblSkip val="12"/>
        <c:noMultiLvlLbl val="1"/>
      </c:catAx>
      <c:valAx>
        <c:axId val="85096965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-[$₱-464]* #,##0_-;\-[$₱-464]* #,##0_-;_-[$₱-464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85096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'CoffeeShop Revenue'!$D$32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31750">
              <a:solidFill>
                <a:schemeClr val="accent4">
                  <a:lumMod val="60000"/>
                  <a:lumOff val="40000"/>
                </a:schemeClr>
              </a:solidFill>
            </a:ln>
            <a:effectLst>
              <a:outerShdw blurRad="50800" dist="38100" dir="13500000" algn="br" rotWithShape="0">
                <a:prstClr val="black">
                  <a:alpha val="40000"/>
                </a:prstClr>
              </a:outerShdw>
            </a:effectLst>
          </c:spPr>
          <c:invertIfNegative val="0"/>
          <c:cat>
            <c:multiLvlStrRef>
              <c:f>'CoffeeShop Revenue'!$B$33:$C$80</c:f>
              <c:multiLvlStrCache>
                <c:ptCount val="48"/>
                <c:lvl>
                  <c:pt idx="0">
                    <c:v>2019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2019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2020</c:v>
                  </c:pt>
                  <c:pt idx="14">
                    <c:v>2020</c:v>
                  </c:pt>
                  <c:pt idx="15">
                    <c:v>2020</c:v>
                  </c:pt>
                  <c:pt idx="16">
                    <c:v>2020</c:v>
                  </c:pt>
                  <c:pt idx="17">
                    <c:v>2020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2021</c:v>
                  </c:pt>
                  <c:pt idx="26">
                    <c:v>2021</c:v>
                  </c:pt>
                  <c:pt idx="27">
                    <c:v>2021</c:v>
                  </c:pt>
                  <c:pt idx="28">
                    <c:v>2021</c:v>
                  </c:pt>
                  <c:pt idx="29">
                    <c:v>2021</c:v>
                  </c:pt>
                  <c:pt idx="30">
                    <c:v>2021</c:v>
                  </c:pt>
                  <c:pt idx="31">
                    <c:v>2021</c:v>
                  </c:pt>
                  <c:pt idx="32">
                    <c:v>2021</c:v>
                  </c:pt>
                  <c:pt idx="33">
                    <c:v>2021</c:v>
                  </c:pt>
                  <c:pt idx="34">
                    <c:v>2021</c:v>
                  </c:pt>
                  <c:pt idx="35">
                    <c:v>2021</c:v>
                  </c:pt>
                  <c:pt idx="36">
                    <c:v>2022</c:v>
                  </c:pt>
                  <c:pt idx="37">
                    <c:v>2022</c:v>
                  </c:pt>
                  <c:pt idx="38">
                    <c:v>2022</c:v>
                  </c:pt>
                  <c:pt idx="39">
                    <c:v>2022</c:v>
                  </c:pt>
                  <c:pt idx="40">
                    <c:v>2022</c:v>
                  </c:pt>
                  <c:pt idx="41">
                    <c:v>2022</c:v>
                  </c:pt>
                  <c:pt idx="42">
                    <c:v>2022</c:v>
                  </c:pt>
                  <c:pt idx="43">
                    <c:v>2022</c:v>
                  </c:pt>
                  <c:pt idx="44">
                    <c:v>2022</c:v>
                  </c:pt>
                  <c:pt idx="45">
                    <c:v>2022</c:v>
                  </c:pt>
                  <c:pt idx="46">
                    <c:v>2022</c:v>
                  </c:pt>
                  <c:pt idx="47">
                    <c:v>2022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</c:multiLvlStrCache>
            </c:multiLvlStrRef>
          </c:cat>
          <c:val>
            <c:numRef>
              <c:f>'CoffeeShop Revenue'!$D$33:$D$80</c:f>
              <c:numCache>
                <c:formatCode>_-[$₱-464]* #,##0_-;\-[$₱-464]* #,##0_-;_-[$₱-464]* "-"??_-;_-@_-</c:formatCode>
                <c:ptCount val="48"/>
                <c:pt idx="0">
                  <c:v>52000</c:v>
                </c:pt>
                <c:pt idx="1">
                  <c:v>48000</c:v>
                </c:pt>
                <c:pt idx="2">
                  <c:v>60000</c:v>
                </c:pt>
                <c:pt idx="3">
                  <c:v>64000</c:v>
                </c:pt>
                <c:pt idx="4">
                  <c:v>72000</c:v>
                </c:pt>
                <c:pt idx="5">
                  <c:v>81000</c:v>
                </c:pt>
                <c:pt idx="6">
                  <c:v>89000</c:v>
                </c:pt>
                <c:pt idx="7">
                  <c:v>86000</c:v>
                </c:pt>
                <c:pt idx="8">
                  <c:v>71000</c:v>
                </c:pt>
                <c:pt idx="9">
                  <c:v>75000</c:v>
                </c:pt>
                <c:pt idx="10">
                  <c:v>98000</c:v>
                </c:pt>
                <c:pt idx="11">
                  <c:v>115000</c:v>
                </c:pt>
                <c:pt idx="12">
                  <c:v>95000</c:v>
                </c:pt>
                <c:pt idx="13">
                  <c:v>82000</c:v>
                </c:pt>
                <c:pt idx="14">
                  <c:v>105000</c:v>
                </c:pt>
                <c:pt idx="15">
                  <c:v>112000</c:v>
                </c:pt>
                <c:pt idx="16">
                  <c:v>125000</c:v>
                </c:pt>
                <c:pt idx="17">
                  <c:v>139000</c:v>
                </c:pt>
                <c:pt idx="18">
                  <c:v>151000</c:v>
                </c:pt>
                <c:pt idx="19">
                  <c:v>147000</c:v>
                </c:pt>
                <c:pt idx="20">
                  <c:v>123000</c:v>
                </c:pt>
                <c:pt idx="21">
                  <c:v>131000</c:v>
                </c:pt>
                <c:pt idx="22">
                  <c:v>188000</c:v>
                </c:pt>
                <c:pt idx="23">
                  <c:v>205000</c:v>
                </c:pt>
                <c:pt idx="24">
                  <c:v>138000</c:v>
                </c:pt>
                <c:pt idx="25">
                  <c:v>121000</c:v>
                </c:pt>
                <c:pt idx="26">
                  <c:v>142000</c:v>
                </c:pt>
                <c:pt idx="27">
                  <c:v>153000</c:v>
                </c:pt>
                <c:pt idx="28">
                  <c:v>168000</c:v>
                </c:pt>
                <c:pt idx="29">
                  <c:v>189000</c:v>
                </c:pt>
                <c:pt idx="30">
                  <c:v>201000</c:v>
                </c:pt>
                <c:pt idx="31">
                  <c:v>198000</c:v>
                </c:pt>
                <c:pt idx="32">
                  <c:v>162000</c:v>
                </c:pt>
                <c:pt idx="33">
                  <c:v>175000</c:v>
                </c:pt>
                <c:pt idx="34">
                  <c:v>240000</c:v>
                </c:pt>
                <c:pt idx="35">
                  <c:v>275000</c:v>
                </c:pt>
                <c:pt idx="36">
                  <c:v>197000</c:v>
                </c:pt>
                <c:pt idx="37">
                  <c:v>170500</c:v>
                </c:pt>
                <c:pt idx="38">
                  <c:v>206000</c:v>
                </c:pt>
                <c:pt idx="39">
                  <c:v>215000</c:v>
                </c:pt>
                <c:pt idx="40">
                  <c:v>237500</c:v>
                </c:pt>
                <c:pt idx="41">
                  <c:v>269000</c:v>
                </c:pt>
                <c:pt idx="42">
                  <c:v>280000</c:v>
                </c:pt>
                <c:pt idx="43">
                  <c:v>273500</c:v>
                </c:pt>
                <c:pt idx="44">
                  <c:v>240000</c:v>
                </c:pt>
                <c:pt idx="45">
                  <c:v>253000</c:v>
                </c:pt>
                <c:pt idx="46">
                  <c:v>289500</c:v>
                </c:pt>
                <c:pt idx="47">
                  <c:v>347000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3-427A-9AEF-06E3118AA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0969296"/>
        <c:axId val="850969656"/>
      </c:barChart>
      <c:catAx>
        <c:axId val="85096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850969656"/>
        <c:crosses val="autoZero"/>
        <c:auto val="0"/>
        <c:lblAlgn val="ctr"/>
        <c:lblOffset val="0"/>
        <c:tickLblSkip val="12"/>
        <c:noMultiLvlLbl val="1"/>
      </c:catAx>
      <c:valAx>
        <c:axId val="85096965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-[$₱-464]* #,##0_-;\-[$₱-464]* #,##0_-;_-[$₱-464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85096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'Dot Plots'!$C$2</c:f>
              <c:strCache>
                <c:ptCount val="1"/>
                <c:pt idx="0">
                  <c:v>Count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cat>
            <c:strRef>
              <c:f>'Dot Plots'!$B$3:$B$8</c:f>
              <c:strCache>
                <c:ptCount val="6"/>
                <c:pt idx="0">
                  <c:v>Dog</c:v>
                </c:pt>
                <c:pt idx="1">
                  <c:v>Cat</c:v>
                </c:pt>
                <c:pt idx="2">
                  <c:v>Bird</c:v>
                </c:pt>
                <c:pt idx="3">
                  <c:v>Fish</c:v>
                </c:pt>
                <c:pt idx="4">
                  <c:v>Rabbit</c:v>
                </c:pt>
                <c:pt idx="5">
                  <c:v>Other</c:v>
                </c:pt>
              </c:strCache>
            </c:strRef>
          </c:cat>
          <c:val>
            <c:numRef>
              <c:f>'Dot Plots'!$C$3:$C$8</c:f>
              <c:numCache>
                <c:formatCode>General</c:formatCode>
                <c:ptCount val="6"/>
                <c:pt idx="0">
                  <c:v>11</c:v>
                </c:pt>
                <c:pt idx="1">
                  <c:v>6</c:v>
                </c:pt>
                <c:pt idx="2">
                  <c:v>4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6-467B-9DBF-6E6F8B92C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0795240"/>
        <c:axId val="600788400"/>
      </c:barChart>
      <c:catAx>
        <c:axId val="600795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600788400"/>
        <c:crosses val="autoZero"/>
        <c:auto val="1"/>
        <c:lblAlgn val="ctr"/>
        <c:lblOffset val="100"/>
        <c:noMultiLvlLbl val="0"/>
      </c:catAx>
      <c:valAx>
        <c:axId val="600788400"/>
        <c:scaling>
          <c:orientation val="minMax"/>
          <c:max val="12"/>
        </c:scaling>
        <c:delete val="1"/>
        <c:axPos val="l"/>
        <c:numFmt formatCode="General" sourceLinked="1"/>
        <c:majorTickMark val="out"/>
        <c:minorTickMark val="none"/>
        <c:tickLblPos val="nextTo"/>
        <c:crossAx val="6007952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'Dot Plots'!$C$11</c:f>
              <c:strCache>
                <c:ptCount val="1"/>
                <c:pt idx="0">
                  <c:v>Count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cat>
            <c:numRef>
              <c:f>'Dot Plots'!$B$12:$B$18</c:f>
              <c:numCache>
                <c:formatCode>General</c:formatCode>
                <c:ptCount val="7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</c:numCache>
            </c:numRef>
          </c:cat>
          <c:val>
            <c:numRef>
              <c:f>'Dot Plots'!$C$12:$C$18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F-4BB9-B0EA-1D6C0BBEA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150536"/>
        <c:axId val="459144416"/>
      </c:barChart>
      <c:catAx>
        <c:axId val="459150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459144416"/>
        <c:crosses val="autoZero"/>
        <c:auto val="1"/>
        <c:lblAlgn val="ctr"/>
        <c:lblOffset val="100"/>
        <c:noMultiLvlLbl val="0"/>
      </c:catAx>
      <c:valAx>
        <c:axId val="459144416"/>
        <c:scaling>
          <c:orientation val="minMax"/>
          <c:max val="3"/>
        </c:scaling>
        <c:delete val="1"/>
        <c:axPos val="l"/>
        <c:numFmt formatCode="General" sourceLinked="1"/>
        <c:majorTickMark val="out"/>
        <c:minorTickMark val="none"/>
        <c:tickLblPos val="nextTo"/>
        <c:crossAx val="4591505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3EC69230-E069-4CFC-82DE-5F32BB7F3671}">
          <cx:spPr>
            <a:solidFill>
              <a:srgbClr val="9199FE"/>
            </a:solidFill>
            <a:ln>
              <a:solidFill>
                <a:srgbClr val="9199FE"/>
              </a:solidFill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x:spPr>
          <cx:dataId val="0"/>
          <cx:layoutPr>
            <cx:binning intervalClosed="r" underflow="9" overflow="36">
              <cx:binCount val="5"/>
            </cx:binning>
          </cx:layoutPr>
        </cx:series>
      </cx:plotAreaRegion>
      <cx:axis id="0">
        <cx:catScaling gapWidth="0"/>
        <cx:title>
          <cx:tx>
            <cx:txData>
              <cx:v>Minutes Spent Exercising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atin typeface="Cambria" panose="02040503050406030204" pitchFamily="18" charset="0"/>
                  <a:ea typeface="Cambria" panose="02040503050406030204" pitchFamily="18" charset="0"/>
                  <a:cs typeface="Cambria" panose="02040503050406030204" pitchFamily="18" charset="0"/>
                </a:defRPr>
              </a:pPr>
              <a:r>
                <a:rPr lang="en-US" sz="1000" b="1" i="0" u="none" strike="noStrike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</a:rPr>
                <a:t>Minutes Spent Exercising</a:t>
              </a:r>
            </a:p>
          </cx:txPr>
        </cx:title>
        <cx:tickLabels/>
        <cx:numFmt formatCode="#,##0" sourceLinked="0"/>
        <cx:spPr>
          <a:ln w="9525"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Cambria" panose="02040503050406030204" pitchFamily="18" charset="0"/>
              </a:defRPr>
            </a:pPr>
            <a:endParaRPr lang="en-US" sz="1000" b="1" i="0" u="none" strike="noStrike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endParaRPr>
          </a:p>
        </cx:txPr>
      </cx:axis>
      <cx:axis id="1">
        <cx:valScaling min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atin typeface="Cambria" panose="02040503050406030204" pitchFamily="18" charset="0"/>
                    <a:ea typeface="Cambria" panose="02040503050406030204" pitchFamily="18" charset="0"/>
                    <a:cs typeface="Cambria" panose="02040503050406030204" pitchFamily="18" charset="0"/>
                  </a:defRPr>
                </a:pPr>
                <a:r>
                  <a:rPr lang="en-US" sz="1000" b="1" i="0" u="none" strike="noStrike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Number of Employees</a:t>
                </a:r>
                <a:endParaRPr lang="en-US" sz="900" b="1" i="0" u="none" strike="noStrike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</a:endParaRPr>
              </a:p>
            </cx:rich>
          </cx:tx>
        </cx:title>
        <cx:majorGridlines>
          <cx:spPr>
            <a:ln>
              <a:solidFill>
                <a:schemeClr val="accent3">
                  <a:lumMod val="60000"/>
                  <a:lumOff val="40000"/>
                </a:schemeClr>
              </a:solidFill>
            </a:ln>
          </cx:spPr>
        </cx:majorGridlines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Cambria" panose="02040503050406030204" pitchFamily="18" charset="0"/>
              </a:defRPr>
            </a:pPr>
            <a:endParaRPr lang="en-US" sz="1000" b="1" i="0" u="none" strike="noStrike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E9774666-B0E2-4091-9210-FC552D4E9A97}">
          <cx:spPr>
            <a:solidFill>
              <a:srgbClr val="BEF698"/>
            </a:solidFill>
            <a:ln w="6350">
              <a:solidFill>
                <a:srgbClr val="BEF698"/>
              </a:solidFill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x:spPr>
          <cx:dataId val="0"/>
          <cx:layoutPr>
            <cx:binning intervalClosed="r" underflow="-1" overflow="30">
              <cx:binCount val="8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atin typeface="Cambria" panose="02040503050406030204" pitchFamily="18" charset="0"/>
                    <a:ea typeface="Cambria" panose="02040503050406030204" pitchFamily="18" charset="0"/>
                    <a:cs typeface="Cambria" panose="02040503050406030204" pitchFamily="18" charset="0"/>
                  </a:defRPr>
                </a:pPr>
                <a:r>
                  <a:rPr lang="en-US" sz="1000" b="1" i="0" u="none" strike="noStrike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Vehicles Age</a:t>
                </a:r>
                <a:endParaRPr lang="en-US" sz="900" b="1" i="0" u="none" strike="noStrike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</a:endParaRPr>
              </a:p>
            </cx:rich>
          </cx:tx>
        </cx:title>
        <cx:tickLabels/>
        <cx:numFmt formatCode="#,##0" sourceLinked="0"/>
        <cx:spPr>
          <a:ln w="19050"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Cambria" panose="02040503050406030204" pitchFamily="18" charset="0"/>
              </a:defRPr>
            </a:pPr>
            <a:endParaRPr lang="en-US" sz="1000" b="1" i="0" u="none" strike="noStrike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latin typeface="Cambria" panose="02040503050406030204" pitchFamily="18" charset="0"/>
                    <a:ea typeface="Cambria" panose="02040503050406030204" pitchFamily="18" charset="0"/>
                    <a:cs typeface="Cambria" panose="02040503050406030204" pitchFamily="18" charset="0"/>
                  </a:defRPr>
                </a:pPr>
                <a:r>
                  <a:rPr lang="en-US" sz="1000" b="1" i="0" u="none" strike="noStrike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Number of Vehicles</a:t>
                </a:r>
                <a:endParaRPr lang="en-US" sz="900" b="1" i="0" u="none" strike="noStrike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</a:endParaRPr>
              </a:p>
            </cx:rich>
          </cx:tx>
        </cx:title>
        <cx:majorGridlines>
          <cx:spPr>
            <a:ln w="6350">
              <a:solidFill>
                <a:schemeClr val="accent3">
                  <a:lumMod val="60000"/>
                  <a:lumOff val="40000"/>
                </a:schemeClr>
              </a:solidFill>
            </a:ln>
          </cx:spPr>
        </cx:majorGridlines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Cambria" panose="02040503050406030204" pitchFamily="18" charset="0"/>
              </a:defRPr>
            </a:pPr>
            <a:endParaRPr lang="en-US" sz="1000" b="1" i="0" u="none" strike="noStrike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2B3CD79D-AC81-4FCF-8441-00190FD8F783}" type="doc">
      <dgm:prSet loTypeId="urn:microsoft.com/office/officeart/2005/8/layout/venn1" loCatId="relationship" qsTypeId="urn:microsoft.com/office/officeart/2005/8/quickstyle/simple2" qsCatId="simple" csTypeId="urn:microsoft.com/office/officeart/2005/8/colors/accent1_2" csCatId="accent1" phldr="1"/>
      <dgm:spPr/>
    </dgm:pt>
    <dgm:pt modelId="{54FE44B1-7DA7-47AB-9D30-B2ACB0F76014}">
      <dgm:prSet phldrT="[Text]"/>
      <dgm:spPr>
        <a:solidFill>
          <a:srgbClr val="30D0F7">
            <a:alpha val="50000"/>
          </a:srgbClr>
        </a:solidFill>
        <a:ln>
          <a:solidFill>
            <a:srgbClr val="30D0F7"/>
          </a:solidFill>
        </a:ln>
      </dgm:spPr>
      <dgm:t>
        <a:bodyPr/>
        <a:lstStyle/>
        <a:p>
          <a:endParaRPr lang="en-PH"/>
        </a:p>
      </dgm:t>
    </dgm:pt>
    <dgm:pt modelId="{3BA92ED9-911E-4F1D-8E6E-6067F797C1AA}" type="parTrans" cxnId="{E43DDC78-50DE-4965-A746-7F5FC4BCB1BF}">
      <dgm:prSet/>
      <dgm:spPr/>
      <dgm:t>
        <a:bodyPr/>
        <a:lstStyle/>
        <a:p>
          <a:endParaRPr lang="en-PH"/>
        </a:p>
      </dgm:t>
    </dgm:pt>
    <dgm:pt modelId="{CA274BC8-AEB2-45F4-B83A-4AED2FDF19FC}" type="sibTrans" cxnId="{E43DDC78-50DE-4965-A746-7F5FC4BCB1BF}">
      <dgm:prSet/>
      <dgm:spPr/>
      <dgm:t>
        <a:bodyPr/>
        <a:lstStyle/>
        <a:p>
          <a:endParaRPr lang="en-PH"/>
        </a:p>
      </dgm:t>
    </dgm:pt>
    <dgm:pt modelId="{89EA5ACF-A5C1-4275-AFA2-6A0AC213362C}">
      <dgm:prSet phldrT="[Text]"/>
      <dgm:spPr>
        <a:solidFill>
          <a:srgbClr val="FFE5A2">
            <a:alpha val="49804"/>
          </a:srgbClr>
        </a:solidFill>
        <a:ln>
          <a:solidFill>
            <a:srgbClr val="FFE5A2"/>
          </a:solidFill>
        </a:ln>
      </dgm:spPr>
      <dgm:t>
        <a:bodyPr/>
        <a:lstStyle/>
        <a:p>
          <a:endParaRPr lang="en-PH"/>
        </a:p>
      </dgm:t>
    </dgm:pt>
    <dgm:pt modelId="{F2D46253-F6E4-4571-AE33-1B5A4D6D1ECC}" type="parTrans" cxnId="{0C0E8AD1-243B-41AE-8332-2D1726020898}">
      <dgm:prSet/>
      <dgm:spPr/>
      <dgm:t>
        <a:bodyPr/>
        <a:lstStyle/>
        <a:p>
          <a:endParaRPr lang="en-PH"/>
        </a:p>
      </dgm:t>
    </dgm:pt>
    <dgm:pt modelId="{34215DC5-702A-4E4D-9C45-CAE42C0E7998}" type="sibTrans" cxnId="{0C0E8AD1-243B-41AE-8332-2D1726020898}">
      <dgm:prSet/>
      <dgm:spPr/>
      <dgm:t>
        <a:bodyPr/>
        <a:lstStyle/>
        <a:p>
          <a:endParaRPr lang="en-PH"/>
        </a:p>
      </dgm:t>
    </dgm:pt>
    <dgm:pt modelId="{A7B86269-1527-48B2-8D28-5C6E9FFBB31A}">
      <dgm:prSet phldrT="[Text]"/>
      <dgm:spPr>
        <a:solidFill>
          <a:srgbClr val="EB6070">
            <a:alpha val="49804"/>
          </a:srgbClr>
        </a:solidFill>
        <a:ln>
          <a:solidFill>
            <a:srgbClr val="EB6070"/>
          </a:solidFill>
        </a:ln>
      </dgm:spPr>
      <dgm:t>
        <a:bodyPr/>
        <a:lstStyle/>
        <a:p>
          <a:endParaRPr lang="en-PH"/>
        </a:p>
      </dgm:t>
    </dgm:pt>
    <dgm:pt modelId="{CAD82753-A319-45FB-88CE-ABBB71775CAC}" type="parTrans" cxnId="{B4C25738-F297-4FF5-B8E4-52D585C181D8}">
      <dgm:prSet/>
      <dgm:spPr/>
      <dgm:t>
        <a:bodyPr/>
        <a:lstStyle/>
        <a:p>
          <a:endParaRPr lang="en-PH"/>
        </a:p>
      </dgm:t>
    </dgm:pt>
    <dgm:pt modelId="{A080E76C-11BD-40CD-8E94-EB42626D0824}" type="sibTrans" cxnId="{B4C25738-F297-4FF5-B8E4-52D585C181D8}">
      <dgm:prSet/>
      <dgm:spPr/>
      <dgm:t>
        <a:bodyPr/>
        <a:lstStyle/>
        <a:p>
          <a:endParaRPr lang="en-PH"/>
        </a:p>
      </dgm:t>
    </dgm:pt>
    <dgm:pt modelId="{5DCA83FF-05B0-4174-B6A3-9C4FD6B8A7D7}" type="pres">
      <dgm:prSet presAssocID="{2B3CD79D-AC81-4FCF-8441-00190FD8F783}" presName="compositeShape" presStyleCnt="0">
        <dgm:presLayoutVars>
          <dgm:chMax val="7"/>
          <dgm:dir/>
          <dgm:resizeHandles val="exact"/>
        </dgm:presLayoutVars>
      </dgm:prSet>
      <dgm:spPr/>
    </dgm:pt>
    <dgm:pt modelId="{5A2D3D8A-33FC-48A9-A6CB-BB34B1C83C1C}" type="pres">
      <dgm:prSet presAssocID="{54FE44B1-7DA7-47AB-9D30-B2ACB0F76014}" presName="circ1" presStyleLbl="vennNode1" presStyleIdx="0" presStyleCnt="3" custScaleX="88684" custScaleY="88684"/>
      <dgm:spPr/>
    </dgm:pt>
    <dgm:pt modelId="{ACA1F7D2-5A48-4929-A99A-28E003C9F0D1}" type="pres">
      <dgm:prSet presAssocID="{54FE44B1-7DA7-47AB-9D30-B2ACB0F76014}" presName="circ1Tx" presStyleLbl="revTx" presStyleIdx="0" presStyleCnt="0">
        <dgm:presLayoutVars>
          <dgm:chMax val="0"/>
          <dgm:chPref val="0"/>
          <dgm:bulletEnabled val="1"/>
        </dgm:presLayoutVars>
      </dgm:prSet>
      <dgm:spPr/>
    </dgm:pt>
    <dgm:pt modelId="{72FF3310-169F-4211-A611-FDB25F8174B9}" type="pres">
      <dgm:prSet presAssocID="{89EA5ACF-A5C1-4275-AFA2-6A0AC213362C}" presName="circ2" presStyleLbl="vennNode1" presStyleIdx="1" presStyleCnt="3" custScaleX="88684" custScaleY="88684" custLinFactNeighborX="-8020" custLinFactNeighborY="-8020"/>
      <dgm:spPr/>
    </dgm:pt>
    <dgm:pt modelId="{4AB76D67-4C7B-481C-AA7E-02BEC6CA2E50}" type="pres">
      <dgm:prSet presAssocID="{89EA5ACF-A5C1-4275-AFA2-6A0AC213362C}" presName="circ2Tx" presStyleLbl="revTx" presStyleIdx="0" presStyleCnt="0">
        <dgm:presLayoutVars>
          <dgm:chMax val="0"/>
          <dgm:chPref val="0"/>
          <dgm:bulletEnabled val="1"/>
        </dgm:presLayoutVars>
      </dgm:prSet>
      <dgm:spPr/>
    </dgm:pt>
    <dgm:pt modelId="{913D3C51-0322-44BF-BBE5-D9AA3C04D799}" type="pres">
      <dgm:prSet presAssocID="{A7B86269-1527-48B2-8D28-5C6E9FFBB31A}" presName="circ3" presStyleLbl="vennNode1" presStyleIdx="2" presStyleCnt="3" custScaleX="88684" custScaleY="88684" custLinFactNeighborX="8020" custLinFactNeighborY="-8020"/>
      <dgm:spPr/>
    </dgm:pt>
    <dgm:pt modelId="{002FCC4C-7996-4685-A0CF-330ED2E28E86}" type="pres">
      <dgm:prSet presAssocID="{A7B86269-1527-48B2-8D28-5C6E9FFBB31A}" presName="circ3Tx" presStyleLbl="revTx" presStyleIdx="0" presStyleCnt="0">
        <dgm:presLayoutVars>
          <dgm:chMax val="0"/>
          <dgm:chPref val="0"/>
          <dgm:bulletEnabled val="1"/>
        </dgm:presLayoutVars>
      </dgm:prSet>
      <dgm:spPr/>
    </dgm:pt>
  </dgm:ptLst>
  <dgm:cxnLst>
    <dgm:cxn modelId="{B4C25738-F297-4FF5-B8E4-52D585C181D8}" srcId="{2B3CD79D-AC81-4FCF-8441-00190FD8F783}" destId="{A7B86269-1527-48B2-8D28-5C6E9FFBB31A}" srcOrd="2" destOrd="0" parTransId="{CAD82753-A319-45FB-88CE-ABBB71775CAC}" sibTransId="{A080E76C-11BD-40CD-8E94-EB42626D0824}"/>
    <dgm:cxn modelId="{4B64B741-AD99-4276-ADB5-A25CB2B378D5}" type="presOf" srcId="{89EA5ACF-A5C1-4275-AFA2-6A0AC213362C}" destId="{72FF3310-169F-4211-A611-FDB25F8174B9}" srcOrd="0" destOrd="0" presId="urn:microsoft.com/office/officeart/2005/8/layout/venn1"/>
    <dgm:cxn modelId="{CC1AD970-65C0-4E6C-8106-BA0EF2C0AEDE}" type="presOf" srcId="{A7B86269-1527-48B2-8D28-5C6E9FFBB31A}" destId="{002FCC4C-7996-4685-A0CF-330ED2E28E86}" srcOrd="1" destOrd="0" presId="urn:microsoft.com/office/officeart/2005/8/layout/venn1"/>
    <dgm:cxn modelId="{4E426351-7AEE-4C10-9FD6-A1ABD3C7EF41}" type="presOf" srcId="{A7B86269-1527-48B2-8D28-5C6E9FFBB31A}" destId="{913D3C51-0322-44BF-BBE5-D9AA3C04D799}" srcOrd="0" destOrd="0" presId="urn:microsoft.com/office/officeart/2005/8/layout/venn1"/>
    <dgm:cxn modelId="{E43DDC78-50DE-4965-A746-7F5FC4BCB1BF}" srcId="{2B3CD79D-AC81-4FCF-8441-00190FD8F783}" destId="{54FE44B1-7DA7-47AB-9D30-B2ACB0F76014}" srcOrd="0" destOrd="0" parTransId="{3BA92ED9-911E-4F1D-8E6E-6067F797C1AA}" sibTransId="{CA274BC8-AEB2-45F4-B83A-4AED2FDF19FC}"/>
    <dgm:cxn modelId="{9C04689C-4E79-438F-957B-572EDEE46AD5}" type="presOf" srcId="{54FE44B1-7DA7-47AB-9D30-B2ACB0F76014}" destId="{5A2D3D8A-33FC-48A9-A6CB-BB34B1C83C1C}" srcOrd="0" destOrd="0" presId="urn:microsoft.com/office/officeart/2005/8/layout/venn1"/>
    <dgm:cxn modelId="{8B6D0FA2-1227-4796-A6A6-3F9CE5A19174}" type="presOf" srcId="{89EA5ACF-A5C1-4275-AFA2-6A0AC213362C}" destId="{4AB76D67-4C7B-481C-AA7E-02BEC6CA2E50}" srcOrd="1" destOrd="0" presId="urn:microsoft.com/office/officeart/2005/8/layout/venn1"/>
    <dgm:cxn modelId="{9C8A85BC-AC4D-4055-BF6F-B4D151F31625}" type="presOf" srcId="{54FE44B1-7DA7-47AB-9D30-B2ACB0F76014}" destId="{ACA1F7D2-5A48-4929-A99A-28E003C9F0D1}" srcOrd="1" destOrd="0" presId="urn:microsoft.com/office/officeart/2005/8/layout/venn1"/>
    <dgm:cxn modelId="{AC71C5CB-EA69-4EFE-A91D-DA670BED8062}" type="presOf" srcId="{2B3CD79D-AC81-4FCF-8441-00190FD8F783}" destId="{5DCA83FF-05B0-4174-B6A3-9C4FD6B8A7D7}" srcOrd="0" destOrd="0" presId="urn:microsoft.com/office/officeart/2005/8/layout/venn1"/>
    <dgm:cxn modelId="{0C0E8AD1-243B-41AE-8332-2D1726020898}" srcId="{2B3CD79D-AC81-4FCF-8441-00190FD8F783}" destId="{89EA5ACF-A5C1-4275-AFA2-6A0AC213362C}" srcOrd="1" destOrd="0" parTransId="{F2D46253-F6E4-4571-AE33-1B5A4D6D1ECC}" sibTransId="{34215DC5-702A-4E4D-9C45-CAE42C0E7998}"/>
    <dgm:cxn modelId="{7FCA5D34-01D6-48BE-8CA9-192EFA4742DF}" type="presParOf" srcId="{5DCA83FF-05B0-4174-B6A3-9C4FD6B8A7D7}" destId="{5A2D3D8A-33FC-48A9-A6CB-BB34B1C83C1C}" srcOrd="0" destOrd="0" presId="urn:microsoft.com/office/officeart/2005/8/layout/venn1"/>
    <dgm:cxn modelId="{FFA4A59A-D159-48F4-A024-040817385322}" type="presParOf" srcId="{5DCA83FF-05B0-4174-B6A3-9C4FD6B8A7D7}" destId="{ACA1F7D2-5A48-4929-A99A-28E003C9F0D1}" srcOrd="1" destOrd="0" presId="urn:microsoft.com/office/officeart/2005/8/layout/venn1"/>
    <dgm:cxn modelId="{C603E3B6-0E11-49C4-82F5-779C4D171118}" type="presParOf" srcId="{5DCA83FF-05B0-4174-B6A3-9C4FD6B8A7D7}" destId="{72FF3310-169F-4211-A611-FDB25F8174B9}" srcOrd="2" destOrd="0" presId="urn:microsoft.com/office/officeart/2005/8/layout/venn1"/>
    <dgm:cxn modelId="{AD8EAC27-E724-4038-BD8E-71E5B86485BF}" type="presParOf" srcId="{5DCA83FF-05B0-4174-B6A3-9C4FD6B8A7D7}" destId="{4AB76D67-4C7B-481C-AA7E-02BEC6CA2E50}" srcOrd="3" destOrd="0" presId="urn:microsoft.com/office/officeart/2005/8/layout/venn1"/>
    <dgm:cxn modelId="{8C25513B-4451-40DB-940C-F6C76D335E88}" type="presParOf" srcId="{5DCA83FF-05B0-4174-B6A3-9C4FD6B8A7D7}" destId="{913D3C51-0322-44BF-BBE5-D9AA3C04D799}" srcOrd="4" destOrd="0" presId="urn:microsoft.com/office/officeart/2005/8/layout/venn1"/>
    <dgm:cxn modelId="{2B88DD4E-54F7-4FC8-BD99-4CA371DE3A5D}" type="presParOf" srcId="{5DCA83FF-05B0-4174-B6A3-9C4FD6B8A7D7}" destId="{002FCC4C-7996-4685-A0CF-330ED2E28E86}" srcOrd="5" destOrd="0" presId="urn:microsoft.com/office/officeart/2005/8/layout/venn1"/>
  </dgm:cxnLst>
  <dgm:bg>
    <a:solidFill>
      <a:srgbClr val="CCCCCC"/>
    </a:solidFill>
  </dgm:bg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A2D3D8A-33FC-48A9-A6CB-BB34B1C83C1C}">
      <dsp:nvSpPr>
        <dsp:cNvPr id="0" name=""/>
        <dsp:cNvSpPr/>
      </dsp:nvSpPr>
      <dsp:spPr>
        <a:xfrm>
          <a:off x="1411152" y="133075"/>
          <a:ext cx="1524500" cy="1524500"/>
        </a:xfrm>
        <a:prstGeom prst="ellipse">
          <a:avLst/>
        </a:prstGeom>
        <a:solidFill>
          <a:srgbClr val="30D0F7">
            <a:alpha val="50000"/>
          </a:srgbClr>
        </a:solidFill>
        <a:ln w="19050" cap="flat" cmpd="sng" algn="ctr">
          <a:solidFill>
            <a:srgbClr val="30D0F7"/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178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PH" sz="4900" kern="1200"/>
        </a:p>
      </dsp:txBody>
      <dsp:txXfrm>
        <a:off x="1614419" y="399863"/>
        <a:ext cx="1117966" cy="686025"/>
      </dsp:txXfrm>
    </dsp:sp>
    <dsp:sp modelId="{72FF3310-169F-4211-A611-FDB25F8174B9}">
      <dsp:nvSpPr>
        <dsp:cNvPr id="0" name=""/>
        <dsp:cNvSpPr/>
      </dsp:nvSpPr>
      <dsp:spPr>
        <a:xfrm>
          <a:off x="1893568" y="1069600"/>
          <a:ext cx="1524500" cy="1524500"/>
        </a:xfrm>
        <a:prstGeom prst="ellipse">
          <a:avLst/>
        </a:prstGeom>
        <a:solidFill>
          <a:srgbClr val="FFE5A2">
            <a:alpha val="49804"/>
          </a:srgbClr>
        </a:solidFill>
        <a:ln w="19050" cap="flat" cmpd="sng" algn="ctr">
          <a:solidFill>
            <a:srgbClr val="FFE5A2"/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PH" sz="6000" kern="1200"/>
        </a:p>
      </dsp:txBody>
      <dsp:txXfrm>
        <a:off x="2359811" y="1463429"/>
        <a:ext cx="914700" cy="838475"/>
      </dsp:txXfrm>
    </dsp:sp>
    <dsp:sp modelId="{913D3C51-0322-44BF-BBE5-D9AA3C04D799}">
      <dsp:nvSpPr>
        <dsp:cNvPr id="0" name=""/>
        <dsp:cNvSpPr/>
      </dsp:nvSpPr>
      <dsp:spPr>
        <a:xfrm>
          <a:off x="928737" y="1069600"/>
          <a:ext cx="1524500" cy="1524500"/>
        </a:xfrm>
        <a:prstGeom prst="ellipse">
          <a:avLst/>
        </a:prstGeom>
        <a:solidFill>
          <a:srgbClr val="EB6070">
            <a:alpha val="49804"/>
          </a:srgbClr>
        </a:solidFill>
        <a:ln w="19050" cap="flat" cmpd="sng" algn="ctr">
          <a:solidFill>
            <a:srgbClr val="EB6070"/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PH" sz="6000" kern="1200"/>
        </a:p>
      </dsp:txBody>
      <dsp:txXfrm>
        <a:off x="1072294" y="1463429"/>
        <a:ext cx="914700" cy="83847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enn1">
  <dgm:title val=""/>
  <dgm:desc val=""/>
  <dgm:catLst>
    <dgm:cat type="relationship" pri="28000"/>
    <dgm:cat type="convert" pri="19000"/>
  </dgm:catLst>
  <dgm:sampData useDef="1">
    <dgm:dataModel>
      <dgm:ptLst/>
      <dgm:bg/>
      <dgm:whole/>
    </dgm:dataModel>
  </dgm:sampData>
  <dgm:styleData useDef="1">
    <dgm:dataModel>
      <dgm:ptLst/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</dgm:cxnLst>
      <dgm:bg/>
      <dgm:whole/>
    </dgm:dataModel>
  </dgm:clrData>
  <dgm:layoutNode name="compositeShape">
    <dgm:varLst>
      <dgm:chMax val="7"/>
      <dgm:dir/>
      <dgm:resizeHandles val="exact"/>
    </dgm:varLst>
    <dgm:choose name="Name0">
      <dgm:if name="Name1" axis="ch" ptType="node" func="cnt" op="equ" val="1">
        <dgm:alg type="composite">
          <dgm:param type="ar" val="1"/>
        </dgm:alg>
      </dgm:if>
      <dgm:if name="Name2" axis="ch" ptType="node" func="cnt" op="equ" val="2">
        <dgm:alg type="composite">
          <dgm:param type="ar" val="1.792"/>
        </dgm:alg>
      </dgm:if>
      <dgm:if name="Name3" axis="ch" ptType="node" func="cnt" op="equ" val="3">
        <dgm:alg type="composite">
          <dgm:param type="ar" val="1"/>
        </dgm:alg>
      </dgm:if>
      <dgm:if name="Name4" axis="ch" ptType="node" func="cnt" op="equ" val="4">
        <dgm:alg type="composite">
          <dgm:param type="ar" val="1"/>
        </dgm:alg>
      </dgm:if>
      <dgm:if name="Name5" axis="ch" ptType="node" func="cnt" op="equ" val="5">
        <dgm:alg type="composite">
          <dgm:param type="ar" val="1.4"/>
        </dgm:alg>
      </dgm:if>
      <dgm:if name="Name6" axis="ch" ptType="node" func="cnt" op="equ" val="6">
        <dgm:alg type="composite">
          <dgm:param type="ar" val="1.285"/>
        </dgm:alg>
      </dgm:if>
      <dgm:if name="Name7" axis="ch" ptType="node" func="cnt" op="equ" val="7">
        <dgm:alg type="composite">
          <dgm:param type="ar" val="1.359"/>
        </dgm:alg>
      </dgm:if>
      <dgm:else name="Name8">
        <dgm:alg type="composite">
          <dgm:param type="ar" val="1.359"/>
        </dgm:alg>
      </dgm:else>
    </dgm:choose>
    <dgm:shape xmlns:r="http://schemas.openxmlformats.org/officeDocument/2006/relationships" r:blip="">
      <dgm:adjLst/>
    </dgm:shape>
    <dgm:presOf/>
    <dgm:choose name="Name9">
      <dgm:if name="Name10" axis="ch" ptType="node" func="cnt" op="equ" val="1">
        <dgm:constrLst>
          <dgm:constr type="ctrX" for="ch" forName="circ1TxSh" refType="w" fact="0.5"/>
          <dgm:constr type="ctrY" for="ch" forName="circ1TxSh" refType="h" fact="0.5"/>
          <dgm:constr type="w" for="ch" forName="circ1TxSh" refType="w"/>
          <dgm:constr type="h" for="ch" forName="circ1TxSh" refType="h"/>
          <dgm:constr type="primFontSz" for="ch" ptType="node" op="equ"/>
        </dgm:constrLst>
      </dgm:if>
      <dgm:if name="Name11" axis="ch" ptType="node" func="cnt" op="equ" val="2">
        <dgm:constrLst>
          <dgm:constr type="ctrX" for="ch" forName="circ1" refType="w" fact="0.3"/>
          <dgm:constr type="ctrY" for="ch" forName="circ1" refType="h" fact="0.5"/>
          <dgm:constr type="w" for="ch" forName="circ1" refType="w" fact="0.555"/>
          <dgm:constr type="h" for="ch" forName="circ1" refType="h" fact="0.99456"/>
          <dgm:constr type="l" for="ch" forName="circ1Tx" refType="w" fact="0.1"/>
          <dgm:constr type="t" for="ch" forName="circ1Tx" refType="h" fact="0.12"/>
          <dgm:constr type="w" for="ch" forName="circ1Tx" refType="w" fact="0.32"/>
          <dgm:constr type="h" for="ch" forName="circ1Tx" refType="h" fact="0.76"/>
          <dgm:constr type="ctrX" for="ch" forName="circ2" refType="w" fact="0.7"/>
          <dgm:constr type="ctrY" for="ch" forName="circ2" refType="h" fact="0.5"/>
          <dgm:constr type="w" for="ch" forName="circ2" refType="w" fact="0.555"/>
          <dgm:constr type="h" for="ch" forName="circ2" refType="h" fact="0.99456"/>
          <dgm:constr type="l" for="ch" forName="circ2Tx" refType="w" fact="0.58"/>
          <dgm:constr type="t" for="ch" forName="circ2Tx" refType="h" fact="0.12"/>
          <dgm:constr type="w" for="ch" forName="circ2Tx" refType="w" fact="0.32"/>
          <dgm:constr type="h" for="ch" forName="circ2Tx" refType="h" fact="0.76"/>
          <dgm:constr type="primFontSz" for="ch" ptType="node" op="equ"/>
        </dgm:constrLst>
      </dgm:if>
      <dgm:if name="Name12" axis="ch" ptType="node" func="cnt" op="equ" val="3">
        <dgm:constrLst>
          <dgm:constr type="ctrX" for="ch" forName="circ1" refType="w" fact="0.5"/>
          <dgm:constr type="ctrY" for="ch" forName="circ1" refType="w" fact="0.25"/>
          <dgm:constr type="w" for="ch" forName="circ1" refType="w" fact="0.6"/>
          <dgm:constr type="h" for="ch" forName="circ1" refType="h" fact="0.6"/>
          <dgm:constr type="l" for="ch" forName="circ1Tx" refType="w" fact="0.28"/>
          <dgm:constr type="t" for="ch" forName="circ1Tx" refType="h" fact="0.055"/>
          <dgm:constr type="w" for="ch" forName="circ1Tx" refType="w" fact="0.44"/>
          <dgm:constr type="h" for="ch" forName="circ1Tx" refType="h" fact="0.27"/>
          <dgm:constr type="ctrX" for="ch" forName="circ2" refType="w" fact="0.7165"/>
          <dgm:constr type="ctrY" for="ch" forName="circ2" refType="w" fact="0.625"/>
          <dgm:constr type="w" for="ch" forName="circ2" refType="w" fact="0.6"/>
          <dgm:constr type="h" for="ch" forName="circ2" refType="h" fact="0.6"/>
          <dgm:constr type="l" for="ch" forName="circ2Tx" refType="w" fact="0.6"/>
          <dgm:constr type="t" for="ch" forName="circ2Tx" refType="h" fact="0.48"/>
          <dgm:constr type="w" for="ch" forName="circ2Tx" refType="w" fact="0.36"/>
          <dgm:constr type="h" for="ch" forName="circ2Tx" refType="h" fact="0.33"/>
          <dgm:constr type="ctrX" for="ch" forName="circ3" refType="w" fact="0.2835"/>
          <dgm:constr type="ctrY" for="ch" forName="circ3" refType="w" fact="0.625"/>
          <dgm:constr type="w" for="ch" forName="circ3" refType="w" fact="0.6"/>
          <dgm:constr type="h" for="ch" forName="circ3" refType="h" fact="0.6"/>
          <dgm:constr type="l" for="ch" forName="circ3Tx" refType="w" fact="0.04"/>
          <dgm:constr type="t" for="ch" forName="circ3Tx" refType="h" fact="0.48"/>
          <dgm:constr type="w" for="ch" forName="circ3Tx" refType="w" fact="0.36"/>
          <dgm:constr type="h" for="ch" forName="circ3Tx" refType="h" fact="0.33"/>
          <dgm:constr type="primFontSz" for="ch" ptType="node" op="equ"/>
        </dgm:constrLst>
      </dgm:if>
      <dgm:if name="Name13" axis="ch" ptType="node" func="cnt" op="equ" val="4">
        <dgm:constrLst>
          <dgm:constr type="ctrX" for="ch" forName="circ1" refType="w" fact="0.5"/>
          <dgm:constr type="ctrY" for="ch" forName="circ1" refType="w" fact="0.27"/>
          <dgm:constr type="w" for="ch" forName="circ1" refType="w" fact="0.52"/>
          <dgm:constr type="h" for="ch" forName="circ1" refType="h" fact="0.52"/>
          <dgm:constr type="l" for="ch" forName="circ1Tx" refType="w" fact="0.3"/>
          <dgm:constr type="t" for="ch" forName="circ1Tx" refType="h" fact="0.08"/>
          <dgm:constr type="w" for="ch" forName="circ1Tx" refType="w" fact="0.4"/>
          <dgm:constr type="h" for="ch" forName="circ1Tx" refType="h" fact="0.165"/>
          <dgm:constr type="ctrX" for="ch" forName="circ2" refType="w" fact="0.73"/>
          <dgm:constr type="ctrY" for="ch" forName="circ2" refType="w" fact="0.5"/>
          <dgm:constr type="w" for="ch" forName="circ2" refType="w" fact="0.52"/>
          <dgm:constr type="h" for="ch" forName="circ2" refType="h" fact="0.52"/>
          <dgm:constr type="r" for="ch" forName="circ2Tx" refType="w" fact="0.95"/>
          <dgm:constr type="t" for="ch" forName="circ2Tx" refType="h" fact="0.3"/>
          <dgm:constr type="w" for="ch" forName="circ2Tx" refType="w" fact="0.2"/>
          <dgm:constr type="h" for="ch" forName="circ2Tx" refType="h" fact="0.4"/>
          <dgm:constr type="ctrX" for="ch" forName="circ3" refType="w" fact="0.5"/>
          <dgm:constr type="ctrY" for="ch" forName="circ3" refType="w" fact="0.73"/>
          <dgm:constr type="w" for="ch" forName="circ3" refType="w" fact="0.52"/>
          <dgm:constr type="h" for="ch" forName="circ3" refType="h" fact="0.52"/>
          <dgm:constr type="l" for="ch" forName="circ3Tx" refType="w" fact="0.3"/>
          <dgm:constr type="b" for="ch" forName="circ3Tx" refType="h" fact="0.92"/>
          <dgm:constr type="w" for="ch" forName="circ3Tx" refType="w" fact="0.4"/>
          <dgm:constr type="h" for="ch" forName="circ3Tx" refType="h" fact="0.165"/>
          <dgm:constr type="ctrX" for="ch" forName="circ4" refType="w" fact="0.27"/>
          <dgm:constr type="ctrY" for="ch" forName="circ4" refType="h" fact="0.5"/>
          <dgm:constr type="w" for="ch" forName="circ4" refType="w" fact="0.52"/>
          <dgm:constr type="h" for="ch" forName="circ4" refType="h" fact="0.52"/>
          <dgm:constr type="l" for="ch" forName="circ4Tx" refType="w" fact="0.05"/>
          <dgm:constr type="t" for="ch" forName="circ4Tx" refType="h" fact="0.3"/>
          <dgm:constr type="w" for="ch" forName="circ4Tx" refType="w" fact="0.2"/>
          <dgm:constr type="h" for="ch" forName="circ4Tx" refType="h" fact="0.4"/>
          <dgm:constr type="primFontSz" for="ch" ptType="node" op="equ"/>
        </dgm:constrLst>
      </dgm:if>
      <dgm:if name="Name14" axis="ch" ptType="node" func="cnt" op="equ" val="5">
        <dgm:constrLst>
          <dgm:constr type="ctrX" for="ch" forName="circ1" refType="w" fact="0.5"/>
          <dgm:constr type="ctrY" for="ch" forName="circ1" refType="h" fact="0.46"/>
          <dgm:constr type="w" for="ch" forName="circ1" refType="w" fact="0.25"/>
          <dgm:constr type="h" for="ch" forName="circ1" refType="h" fact="0.35"/>
          <dgm:constr type="l" for="ch" forName="circ1Tx" refType="w" fact="0.355"/>
          <dgm:constr type="t" for="ch" forName="circ1Tx"/>
          <dgm:constr type="w" for="ch" forName="circ1Tx" refType="w" fact="0.29"/>
          <dgm:constr type="h" for="ch" forName="circ1Tx" refType="h" fact="0.235"/>
          <dgm:constr type="ctrX" for="ch" forName="circ2" refType="w" fact="0.5951"/>
          <dgm:constr type="ctrY" for="ch" forName="circ2" refType="h" fact="0.5567"/>
          <dgm:constr type="w" for="ch" forName="circ2" refType="w" fact="0.25"/>
          <dgm:constr type="h" for="ch" forName="circ2" refType="h" fact="0.35"/>
          <dgm:constr type="l" for="ch" forName="circ2Tx" refType="w" fact="0.74"/>
          <dgm:constr type="t" for="ch" forName="circ2Tx" refType="h" fact="0.31"/>
          <dgm:constr type="w" for="ch" forName="circ2Tx" refType="w" fact="0.26"/>
          <dgm:constr type="h" for="ch" forName="circ2Tx" refType="h" fact="0.255"/>
          <dgm:constr type="ctrX" for="ch" forName="circ3" refType="w" fact="0.5588"/>
          <dgm:constr type="ctrY" for="ch" forName="circ3" refType="h" fact="0.7133"/>
          <dgm:constr type="w" for="ch" forName="circ3" refType="w" fact="0.25"/>
          <dgm:constr type="h" for="ch" forName="circ3" refType="h" fact="0.35"/>
          <dgm:constr type="l" for="ch" forName="circ3Tx" refType="w" fact="0.7"/>
          <dgm:constr type="t" for="ch" forName="circ3Tx" refType="h" fact="0.745"/>
          <dgm:constr type="w" for="ch" forName="circ3Tx" refType="w" fact="0.26"/>
          <dgm:constr type="h" for="ch" forName="circ3Tx" refType="h" fact="0.255"/>
          <dgm:constr type="ctrX" for="ch" forName="circ4" refType="w" fact="0.4412"/>
          <dgm:constr type="ctrY" for="ch" forName="circ4" refType="h" fact="0.7133"/>
          <dgm:constr type="w" for="ch" forName="circ4" refType="w" fact="0.25"/>
          <dgm:constr type="h" for="ch" forName="circ4" refType="h" fact="0.35"/>
          <dgm:constr type="l" for="ch" forName="circ4Tx" refType="w" fact="0.04"/>
          <dgm:constr type="t" for="ch" forName="circ4Tx" refType="h" fact="0.745"/>
          <dgm:constr type="w" for="ch" forName="circ4Tx" refType="w" fact="0.26"/>
          <dgm:constr type="h" for="ch" forName="circ4Tx" refType="h" fact="0.255"/>
          <dgm:constr type="ctrX" for="ch" forName="circ5" refType="w" fact="0.4049"/>
          <dgm:constr type="ctrY" for="ch" forName="circ5" refType="h" fact="0.5567"/>
          <dgm:constr type="w" for="ch" forName="circ5" refType="w" fact="0.25"/>
          <dgm:constr type="h" for="ch" forName="circ5" refType="h" fact="0.35"/>
          <dgm:constr type="l" for="ch" forName="circ5Tx"/>
          <dgm:constr type="t" for="ch" forName="circ5Tx" refType="h" fact="0.31"/>
          <dgm:constr type="w" for="ch" forName="circ5Tx" refType="w" fact="0.26"/>
          <dgm:constr type="h" for="ch" forName="circ5Tx" refType="h" fact="0.255"/>
          <dgm:constr type="primFontSz" for="ch" ptType="node" op="equ"/>
        </dgm:constrLst>
      </dgm:if>
      <dgm:if name="Name15" axis="ch" ptType="node" func="cnt" op="equ" val="6">
        <dgm:constrLst>
          <dgm:constr type="ctrX" for="ch" forName="circ1" refType="w" fact="0.5"/>
          <dgm:constr type="ctrY" for="ch" forName="circ1" refType="h" fact="0.3844"/>
          <dgm:constr type="w" for="ch" forName="circ1" refType="w" fact="0.24"/>
          <dgm:constr type="h" for="ch" forName="circ1" refType="h" fact="0.3084"/>
          <dgm:constr type="l" for="ch" forName="circ1Tx" refType="w" fact="0.35"/>
          <dgm:constr type="t" for="ch" forName="circ1Tx"/>
          <dgm:constr type="w" for="ch" forName="circ1Tx" refType="w" fact="0.3"/>
          <dgm:constr type="h" for="ch" forName="circ1Tx" refType="h" fact="0.21"/>
          <dgm:constr type="ctrX" for="ch" forName="circ2" refType="w" fact="0.5779"/>
          <dgm:constr type="ctrY" for="ch" forName="circ2" refType="h" fact="0.4422"/>
          <dgm:constr type="w" for="ch" forName="circ2" refType="w" fact="0.24"/>
          <dgm:constr type="h" for="ch" forName="circ2" refType="h" fact="0.3084"/>
          <dgm:constr type="l" for="ch" forName="circ2Tx" refType="w" fact="0.7157"/>
          <dgm:constr type="t" for="ch" forName="circ2Tx" refType="h" fact="0.2"/>
          <dgm:constr type="w" for="ch" forName="circ2Tx" refType="w" fact="0.2843"/>
          <dgm:constr type="h" for="ch" forName="circ2Tx" refType="h" fact="0.23"/>
          <dgm:constr type="ctrX" for="ch" forName="circ3" refType="w" fact="0.5779"/>
          <dgm:constr type="ctrY" for="ch" forName="circ3" refType="h" fact="0.5578"/>
          <dgm:constr type="w" for="ch" forName="circ3" refType="w" fact="0.24"/>
          <dgm:constr type="h" for="ch" forName="circ3" refType="h" fact="0.3084"/>
          <dgm:constr type="l" for="ch" forName="circ3Tx" refType="w" fact="0.7157"/>
          <dgm:constr type="t" for="ch" forName="circ3Tx" refType="h" fact="0.543"/>
          <dgm:constr type="w" for="ch" forName="circ3Tx" refType="w" fact="0.2843"/>
          <dgm:constr type="h" for="ch" forName="circ3Tx" refType="h" fact="0.257"/>
          <dgm:constr type="ctrX" for="ch" forName="circ4" refType="w" fact="0.5"/>
          <dgm:constr type="ctrY" for="ch" forName="circ4" refType="h" fact="0.6157"/>
          <dgm:constr type="w" for="ch" forName="circ4" refType="w" fact="0.24"/>
          <dgm:constr type="h" for="ch" forName="circ4" refType="h" fact="0.3084"/>
          <dgm:constr type="l" for="ch" forName="circ4Tx" refType="w" fact="0.35"/>
          <dgm:constr type="t" for="ch" forName="circ4Tx" refType="h" fact="0.79"/>
          <dgm:constr type="w" for="ch" forName="circ4Tx" refType="w" fact="0.3"/>
          <dgm:constr type="h" for="ch" forName="circ4Tx" refType="h" fact="0.21"/>
          <dgm:constr type="ctrX" for="ch" forName="circ5" refType="w" fact="0.4221"/>
          <dgm:constr type="ctrY" for="ch" forName="circ5" refType="h" fact="0.5578"/>
          <dgm:constr type="w" for="ch" forName="circ5" refType="w" fact="0.24"/>
          <dgm:constr type="h" for="ch" forName="circ5" refType="h" fact="0.3084"/>
          <dgm:constr type="l" for="ch" forName="circ5Tx" refType="w" fact="0"/>
          <dgm:constr type="t" for="ch" forName="circ5Tx" refType="h" fact="0.543"/>
          <dgm:constr type="w" for="ch" forName="circ5Tx" refType="w" fact="0.2843"/>
          <dgm:constr type="h" for="ch" forName="circ5Tx" refType="h" fact="0.257"/>
          <dgm:constr type="ctrX" for="ch" forName="circ6" refType="w" fact="0.4221"/>
          <dgm:constr type="ctrY" for="ch" forName="circ6" refType="h" fact="0.4422"/>
          <dgm:constr type="w" for="ch" forName="circ6" refType="w" fact="0.24"/>
          <dgm:constr type="h" for="ch" forName="circ6" refType="h" fact="0.3084"/>
          <dgm:constr type="l" for="ch" forName="circ6Tx" refType="w" fact="0"/>
          <dgm:constr type="t" for="ch" forName="circ6Tx" refType="h" fact="0.2"/>
          <dgm:constr type="w" for="ch" forName="circ6Tx" refType="w" fact="0.2843"/>
          <dgm:constr type="h" for="ch" forName="circ6Tx" refType="h" fact="0.257"/>
          <dgm:constr type="primFontSz" for="ch" ptType="node" op="equ"/>
        </dgm:constrLst>
      </dgm:if>
      <dgm:else name="Name16">
        <dgm:constrLst>
          <dgm:constr type="ctrX" for="ch" forName="circ1" refType="w" fact="0.5"/>
          <dgm:constr type="ctrY" for="ch" forName="circ1" refType="h" fact="0.4177"/>
          <dgm:constr type="w" for="ch" forName="circ1" refType="w" fact="0.24"/>
          <dgm:constr type="h" for="ch" forName="circ1" refType="h" fact="0.3262"/>
          <dgm:constr type="l" for="ch" forName="circ1Tx" refType="w" fact="0.3625"/>
          <dgm:constr type="t" for="ch" forName="circ1Tx"/>
          <dgm:constr type="w" for="ch" forName="circ1Tx" refType="w" fact="0.275"/>
          <dgm:constr type="h" for="ch" forName="circ1Tx" refType="h" fact="0.2"/>
          <dgm:constr type="ctrX" for="ch" forName="circ2" refType="w" fact="0.5704"/>
          <dgm:constr type="ctrY" for="ch" forName="circ2" refType="h" fact="0.4637"/>
          <dgm:constr type="w" for="ch" forName="circ2" refType="w" fact="0.24"/>
          <dgm:constr type="h" for="ch" forName="circ2" refType="h" fact="0.3262"/>
          <dgm:constr type="l" for="ch" forName="circ2Tx" refType="w" fact="0.72"/>
          <dgm:constr type="t" for="ch" forName="circ2Tx" refType="h" fact="0.19"/>
          <dgm:constr type="w" for="ch" forName="circ2Tx" refType="w" fact="0.26"/>
          <dgm:constr type="h" for="ch" forName="circ2Tx" refType="h" fact="0.22"/>
          <dgm:constr type="ctrX" for="ch" forName="circ3" refType="w" fact="0.5877"/>
          <dgm:constr type="ctrY" for="ch" forName="circ3" refType="h" fact="0.5672"/>
          <dgm:constr type="w" for="ch" forName="circ3" refType="w" fact="0.24"/>
          <dgm:constr type="h" for="ch" forName="circ3" refType="h" fact="0.3262"/>
          <dgm:constr type="l" for="ch" forName="circ3Tx" refType="w" fact="0.745"/>
          <dgm:constr type="t" for="ch" forName="circ3Tx" refType="h" fact="0.47"/>
          <dgm:constr type="w" for="ch" forName="circ3Tx" refType="w" fact="0.255"/>
          <dgm:constr type="h" for="ch" forName="circ3Tx" refType="h" fact="0.235"/>
          <dgm:constr type="ctrX" for="ch" forName="circ4" refType="w" fact="0.539"/>
          <dgm:constr type="ctrY" for="ch" forName="circ4" refType="h" fact="0.6502"/>
          <dgm:constr type="w" for="ch" forName="circ4" refType="w" fact="0.24"/>
          <dgm:constr type="h" for="ch" forName="circ4" refType="h" fact="0.3262"/>
          <dgm:constr type="l" for="ch" forName="circ4Tx" refType="w" fact="0.635"/>
          <dgm:constr type="t" for="ch" forName="circ4Tx" refType="h" fact="0.785"/>
          <dgm:constr type="w" for="ch" forName="circ4Tx" refType="w" fact="0.275"/>
          <dgm:constr type="h" for="ch" forName="circ4Tx" refType="h" fact="0.215"/>
          <dgm:constr type="ctrX" for="ch" forName="circ5" refType="w" fact="0.461"/>
          <dgm:constr type="ctrY" for="ch" forName="circ5" refType="h" fact="0.6502"/>
          <dgm:constr type="w" for="ch" forName="circ5" refType="w" fact="0.24"/>
          <dgm:constr type="h" for="ch" forName="circ5" refType="h" fact="0.3262"/>
          <dgm:constr type="l" for="ch" forName="circ5Tx" refType="w" fact="0.09"/>
          <dgm:constr type="t" for="ch" forName="circ5Tx" refType="h" fact="0.785"/>
          <dgm:constr type="w" for="ch" forName="circ5Tx" refType="w" fact="0.275"/>
          <dgm:constr type="h" for="ch" forName="circ5Tx" refType="h" fact="0.215"/>
          <dgm:constr type="ctrX" for="ch" forName="circ6" refType="w" fact="0.4123"/>
          <dgm:constr type="ctrY" for="ch" forName="circ6" refType="h" fact="0.5672"/>
          <dgm:constr type="w" for="ch" forName="circ6" refType="w" fact="0.24"/>
          <dgm:constr type="h" for="ch" forName="circ6" refType="h" fact="0.3262"/>
          <dgm:constr type="l" for="ch" forName="circ6Tx"/>
          <dgm:constr type="t" for="ch" forName="circ6Tx" refType="h" fact="0.47"/>
          <dgm:constr type="w" for="ch" forName="circ6Tx" refType="w" fact="0.255"/>
          <dgm:constr type="h" for="ch" forName="circ6Tx" refType="h" fact="0.235"/>
          <dgm:constr type="ctrX" for="ch" forName="circ7" refType="w" fact="0.4296"/>
          <dgm:constr type="ctrY" for="ch" forName="circ7" refType="h" fact="0.4637"/>
          <dgm:constr type="w" for="ch" forName="circ7" refType="w" fact="0.24"/>
          <dgm:constr type="h" for="ch" forName="circ7" refType="h" fact="0.3262"/>
          <dgm:constr type="l" for="ch" forName="circ7Tx" refType="w" fact="0.02"/>
          <dgm:constr type="t" for="ch" forName="circ7Tx" refType="h" fact="0.19"/>
          <dgm:constr type="w" for="ch" forName="circ7Tx" refType="w" fact="0.26"/>
          <dgm:constr type="h" for="ch" forName="circ7Tx" refType="h" fact="0.22"/>
          <dgm:constr type="primFontSz" for="ch" ptType="node" op="equ"/>
        </dgm:constrLst>
      </dgm:else>
    </dgm:choose>
    <dgm:ruleLst/>
    <dgm:forEach name="Name17" axis="ch" ptType="node" cnt="1">
      <dgm:choose name="Name18">
        <dgm:if name="Name19" axis="root ch" ptType="all node" func="cnt" op="equ" val="1">
          <dgm:layoutNode name="circ1TxSh" styleLbl="vennNode1"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ellipse" r:blip="">
              <dgm:adjLst/>
            </dgm:shape>
            <dgm:choose name="Name20">
              <dgm:if name="Name21" func="var" arg="dir" op="equ" val="norm">
                <dgm:choose name="Name22">
                  <dgm:if name="Name23" axis="root ch" ptType="all node" func="cnt" op="lte" val="4">
                    <dgm:presOf axis="desOrSelf" ptType="node"/>
                  </dgm:if>
                  <dgm:else name="Name24">
                    <dgm:presOf/>
                  </dgm:else>
                </dgm:choose>
              </dgm:if>
              <dgm:else name="Name25">
                <dgm:choose name="Name26">
                  <dgm:if name="Name27" axis="root ch" ptType="all node" func="cnt" op="equ" val="2">
                    <dgm:presOf axis="root ch desOrSelf" ptType="all node node" st="1 2 1" cnt="1 1 0"/>
                  </dgm:if>
                  <dgm:else name="Name28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if>
        <dgm:else name="Name29">
          <dgm:layoutNode name="circ1" styleLbl="vennNode1">
            <dgm:alg type="sp"/>
            <dgm:shape xmlns:r="http://schemas.openxmlformats.org/officeDocument/2006/relationships" type="ellipse" r:blip="">
              <dgm:adjLst/>
            </dgm:shape>
            <dgm:choose name="Name30">
              <dgm:if name="Name31" func="var" arg="dir" op="equ" val="norm">
                <dgm:choose name="Name32">
                  <dgm:if name="Name33" axis="root ch" ptType="all node" func="cnt" op="lte" val="4">
                    <dgm:presOf axis="desOrSelf" ptType="node"/>
                  </dgm:if>
                  <dgm:else name="Name34">
                    <dgm:presOf/>
                  </dgm:else>
                </dgm:choose>
              </dgm:if>
              <dgm:else name="Name35">
                <dgm:choose name="Name36">
                  <dgm:if name="Name37" axis="root ch" ptType="all node" func="cnt" op="equ" val="2">
                    <dgm:presOf axis="root ch desOrSelf" ptType="all node node" st="1 2 1" cnt="1 1 0"/>
                  </dgm:if>
                  <dgm:else name="Name38">
                    <dgm:choose name="Name39">
                      <dgm:if name="Name40" axis="root ch" ptType="all node" func="cnt" op="lte" val="4">
                        <dgm:presOf axis="desOrSelf" ptType="node"/>
                      </dgm:if>
                      <dgm:else name="Name41">
                        <dgm:presOf/>
                      </dgm:else>
                    </dgm:choose>
                  </dgm:else>
                </dgm:choose>
              </dgm:else>
            </dgm:choose>
            <dgm:constrLst/>
            <dgm:ruleLst/>
          </dgm:layoutNode>
          <dgm:layoutNode name="circ1Tx" styleLbl="revTx">
            <dgm:varLst>
              <dgm:chMax val="0"/>
              <dgm:chPref val="0"/>
              <dgm:bulletEnabled val="1"/>
            </dgm:varLst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choose name="Name42">
              <dgm:if name="Name43" func="var" arg="dir" op="equ" val="norm">
                <dgm:presOf axis="desOrSelf" ptType="node"/>
              </dgm:if>
              <dgm:else name="Name44">
                <dgm:choose name="Name45">
                  <dgm:if name="Name46" axis="root ch" ptType="all node" func="cnt" op="equ" val="2">
                    <dgm:presOf axis="root ch desOrSelf" ptType="all node node" st="1 2 1" cnt="1 1 0"/>
                  </dgm:if>
                  <dgm:else name="Name47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else>
      </dgm:choose>
    </dgm:forEach>
    <dgm:forEach name="Name48" axis="ch" ptType="node" st="2" cnt="1">
      <dgm:layoutNode name="circ2" styleLbl="vennNode1">
        <dgm:alg type="sp"/>
        <dgm:shape xmlns:r="http://schemas.openxmlformats.org/officeDocument/2006/relationships" type="ellipse" r:blip="">
          <dgm:adjLst/>
        </dgm:shape>
        <dgm:choose name="Name49">
          <dgm:if name="Name50" func="var" arg="dir" op="equ" val="norm">
            <dgm:choose name="Name51">
              <dgm:if name="Name52" axis="root ch" ptType="all node" func="cnt" op="lte" val="4">
                <dgm:presOf axis="desOrSelf" ptType="node"/>
              </dgm:if>
              <dgm:else name="Name53">
                <dgm:presOf/>
              </dgm:else>
            </dgm:choose>
          </dgm:if>
          <dgm:else name="Name54">
            <dgm:choose name="Name55">
              <dgm:if name="Name56" axis="root ch" ptType="all node" func="cnt" op="equ" val="2">
                <dgm:presOf axis="root ch desOrSelf" ptType="all node node" st="1 1 1" cnt="1 1 0"/>
              </dgm:if>
              <dgm:if name="Name57" axis="root ch" ptType="all node" func="cnt" op="equ" val="3">
                <dgm:presOf axis="root ch desOrSelf" ptType="all node node" st="1 3 1" cnt="1 1 0"/>
              </dgm:if>
              <dgm:if name="Name58" axis="root ch" ptType="all node" func="cnt" op="equ" val="4">
                <dgm:presOf axis="root ch desOrSelf" ptType="all node node" st="1 4 1" cnt="1 1 0"/>
              </dgm:if>
              <dgm:else name="Name59">
                <dgm:presOf/>
              </dgm:else>
            </dgm:choose>
          </dgm:else>
        </dgm:choose>
        <dgm:constrLst/>
        <dgm:ruleLst/>
      </dgm:layoutNode>
      <dgm:layoutNode name="circ2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60">
          <dgm:if name="Name61" func="var" arg="dir" op="equ" val="norm">
            <dgm:presOf axis="desOrSelf" ptType="node"/>
          </dgm:if>
          <dgm:else name="Name62">
            <dgm:choose name="Name63">
              <dgm:if name="Name64" axis="root ch" ptType="all node" func="cnt" op="equ" val="2">
                <dgm:presOf axis="root ch desOrSelf" ptType="all node node" st="1 1 1" cnt="1 1 0"/>
              </dgm:if>
              <dgm:if name="Name65" axis="root ch" ptType="all node" func="cnt" op="equ" val="3">
                <dgm:presOf axis="root ch desOrSelf" ptType="all node node" st="1 3 1" cnt="1 1 0"/>
              </dgm:if>
              <dgm:if name="Name66" axis="root ch" ptType="all node" func="cnt" op="equ" val="4">
                <dgm:presOf axis="root ch desOrSelf" ptType="all node node" st="1 4 1" cnt="1 1 0"/>
              </dgm:if>
              <dgm:if name="Name67" axis="root ch" ptType="all node" func="cnt" op="equ" val="5">
                <dgm:presOf axis="root ch desOrSelf" ptType="all node node" st="1 5 1" cnt="1 1 0"/>
              </dgm:if>
              <dgm:if name="Name68" axis="root ch" ptType="all node" func="cnt" op="equ" val="6">
                <dgm:presOf axis="root ch desOrSelf" ptType="all node node" st="1 6 1" cnt="1 1 0"/>
              </dgm:if>
              <dgm:else name="Name69">
                <dgm:presOf axis="root ch desOrSelf" ptType="all node node" st="1 7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70" axis="ch" ptType="node" st="3" cnt="1">
      <dgm:layoutNode name="circ3" styleLbl="vennNode1">
        <dgm:alg type="sp"/>
        <dgm:shape xmlns:r="http://schemas.openxmlformats.org/officeDocument/2006/relationships" type="ellipse" r:blip="">
          <dgm:adjLst/>
        </dgm:shape>
        <dgm:choose name="Name71">
          <dgm:if name="Name72" func="var" arg="dir" op="equ" val="norm">
            <dgm:choose name="Name73">
              <dgm:if name="Name74" axis="root ch" ptType="all node" func="cnt" op="lte" val="4">
                <dgm:presOf axis="desOrSelf" ptType="node"/>
              </dgm:if>
              <dgm:else name="Name75">
                <dgm:presOf/>
              </dgm:else>
            </dgm:choose>
          </dgm:if>
          <dgm:else name="Name76">
            <dgm:choose name="Name77">
              <dgm:if name="Name78" axis="root ch" ptType="all node" func="cnt" op="equ" val="3">
                <dgm:presOf axis="root ch desOrSelf" ptType="all node node" st="1 2 1" cnt="1 1 0"/>
              </dgm:if>
              <dgm:if name="Name79" axis="root ch" ptType="all node" func="cnt" op="equ" val="4">
                <dgm:presOf axis="root ch desOrSelf" ptType="all node node" st="1 3 1" cnt="1 1 0"/>
              </dgm:if>
              <dgm:else name="Name80">
                <dgm:presOf/>
              </dgm:else>
            </dgm:choose>
          </dgm:else>
        </dgm:choose>
        <dgm:constrLst/>
        <dgm:ruleLst/>
      </dgm:layoutNode>
      <dgm:layoutNode name="circ3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81">
          <dgm:if name="Name82" func="var" arg="dir" op="equ" val="norm">
            <dgm:presOf axis="desOrSelf" ptType="node"/>
          </dgm:if>
          <dgm:else name="Name83">
            <dgm:choose name="Name84">
              <dgm:if name="Name85" axis="root ch" ptType="all node" func="cnt" op="equ" val="3">
                <dgm:presOf axis="root ch desOrSelf" ptType="all node node" st="1 2 1" cnt="1 1 0"/>
              </dgm:if>
              <dgm:if name="Name86" axis="root ch" ptType="all node" func="cnt" op="equ" val="4">
                <dgm:presOf axis="root ch desOrSelf" ptType="all node node" st="1 3 1" cnt="1 1 0"/>
              </dgm:if>
              <dgm:if name="Name87" axis="root ch" ptType="all node" func="cnt" op="equ" val="5">
                <dgm:presOf axis="root ch desOrSelf" ptType="all node node" st="1 4 1" cnt="1 1 0"/>
              </dgm:if>
              <dgm:if name="Name88" axis="root ch" ptType="all node" func="cnt" op="equ" val="6">
                <dgm:presOf axis="root ch desOrSelf" ptType="all node node" st="1 5 1" cnt="1 1 0"/>
              </dgm:if>
              <dgm:else name="Name89">
                <dgm:presOf axis="root ch desOrSelf" ptType="all node node" st="1 6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90" axis="ch" ptType="node" st="4" cnt="1">
      <dgm:layoutNode name="circ4" styleLbl="vennNode1">
        <dgm:alg type="sp"/>
        <dgm:shape xmlns:r="http://schemas.openxmlformats.org/officeDocument/2006/relationships" type="ellipse" r:blip="">
          <dgm:adjLst/>
        </dgm:shape>
        <dgm:choose name="Name91">
          <dgm:if name="Name92" func="var" arg="dir" op="equ" val="norm">
            <dgm:choose name="Name93">
              <dgm:if name="Name94" axis="root ch" ptType="all node" func="cnt" op="lte" val="4">
                <dgm:presOf axis="desOrSelf" ptType="node"/>
              </dgm:if>
              <dgm:else name="Name95">
                <dgm:presOf/>
              </dgm:else>
            </dgm:choose>
          </dgm:if>
          <dgm:else name="Name96">
            <dgm:choose name="Name97">
              <dgm:if name="Name98" axis="root ch" ptType="all node" func="cnt" op="equ" val="4">
                <dgm:presOf axis="root ch desOrSelf" ptType="all node node" st="1 2 1" cnt="1 1 0"/>
              </dgm:if>
              <dgm:else name="Name99">
                <dgm:presOf/>
              </dgm:else>
            </dgm:choose>
          </dgm:else>
        </dgm:choose>
        <dgm:constrLst/>
        <dgm:ruleLst/>
      </dgm:layoutNode>
      <dgm:layoutNode name="circ4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0">
          <dgm:if name="Name101" func="var" arg="dir" op="equ" val="norm">
            <dgm:presOf axis="desOrSelf" ptType="node"/>
          </dgm:if>
          <dgm:else name="Name102">
            <dgm:choose name="Name103">
              <dgm:if name="Name104" axis="root ch" ptType="all node" func="cnt" op="equ" val="4">
                <dgm:presOf axis="root ch desOrSelf" ptType="all node node" st="1 2 1" cnt="1 1 0"/>
              </dgm:if>
              <dgm:if name="Name105" axis="root ch" ptType="all node" func="cnt" op="equ" val="5">
                <dgm:presOf axis="root ch desOrSelf" ptType="all node node" st="1 3 1" cnt="1 1 0"/>
              </dgm:if>
              <dgm:if name="Name106" axis="root ch" ptType="all node" func="cnt" op="equ" val="6">
                <dgm:presOf axis="root ch desOrSelf" ptType="all node node" st="1 4 1" cnt="1 1 0"/>
              </dgm:if>
              <dgm:else name="Name107">
                <dgm:presOf axis="root ch desOrSelf" ptType="all node node" st="1 5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08" axis="ch" ptType="node" st="5" cnt="1">
      <dgm:layoutNode name="circ5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5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9">
          <dgm:if name="Name110" func="var" arg="dir" op="equ" val="norm">
            <dgm:presOf axis="desOrSelf" ptType="node"/>
          </dgm:if>
          <dgm:else name="Name111">
            <dgm:choose name="Name112">
              <dgm:if name="Name113" axis="root ch" ptType="all node" func="cnt" op="equ" val="5">
                <dgm:presOf axis="root ch desOrSelf" ptType="all node node" st="1 2 1" cnt="1 1 0"/>
              </dgm:if>
              <dgm:if name="Name114" axis="root ch" ptType="all node" func="cnt" op="equ" val="6">
                <dgm:presOf axis="root ch desOrSelf" ptType="all node node" st="1 3 1" cnt="1 1 0"/>
              </dgm:if>
              <dgm:else name="Name115">
                <dgm:presOf axis="root ch desOrSelf" ptType="all node node" st="1 4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16" axis="ch" ptType="node" st="6" cnt="1">
      <dgm:layoutNode name="circ6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6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17">
          <dgm:if name="Name118" func="var" arg="dir" op="equ" val="norm">
            <dgm:presOf axis="desOrSelf" ptType="node"/>
          </dgm:if>
          <dgm:else name="Name119">
            <dgm:choose name="Name120">
              <dgm:if name="Name121" axis="root ch" ptType="all node" func="cnt" op="equ" val="6">
                <dgm:presOf axis="root ch desOrSelf" ptType="all node node" st="1 2 1" cnt="1 1 0"/>
              </dgm:if>
              <dgm:else name="Name122">
                <dgm:presOf axis="root ch desOrSelf" ptType="all node node" st="1 3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23" axis="ch" ptType="node" st="7" cnt="1">
      <dgm:layoutNode name="circ7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7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24">
          <dgm:if name="Name125" func="var" arg="dir" op="equ" val="norm">
            <dgm:presOf axis="desOrSelf" ptType="node"/>
          </dgm:if>
          <dgm:else name="Name126">
            <dgm:presOf axis="root ch desOrSelf" ptType="all node node" st="1 2 1" cnt="1 1 0"/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2">
  <dgm:title val=""/>
  <dgm:desc val=""/>
  <dgm:catLst>
    <dgm:cat type="simple" pri="102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230392</xdr:colOff>
      <xdr:row>0</xdr:row>
      <xdr:rowOff>175484</xdr:rowOff>
    </xdr:from>
    <xdr:to>
      <xdr:col>16</xdr:col>
      <xdr:colOff>250563</xdr:colOff>
      <xdr:row>15</xdr:row>
      <xdr:rowOff>175484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85F451-E006-44C4-911C-D83E149BC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595705</xdr:colOff>
      <xdr:row>0</xdr:row>
      <xdr:rowOff>171898</xdr:rowOff>
    </xdr:from>
    <xdr:to>
      <xdr:col>24</xdr:col>
      <xdr:colOff>290905</xdr:colOff>
      <xdr:row>15</xdr:row>
      <xdr:rowOff>171898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707026-380C-4AC9-99DC-8B0C9B21F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1184</xdr:colOff>
      <xdr:row>16</xdr:row>
      <xdr:rowOff>178719</xdr:rowOff>
    </xdr:from>
    <xdr:to>
      <xdr:col>15</xdr:col>
      <xdr:colOff>130724</xdr:colOff>
      <xdr:row>32</xdr:row>
      <xdr:rowOff>14889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1B7E54-EA36-4592-86D5-A613D7310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592894</xdr:colOff>
      <xdr:row>16</xdr:row>
      <xdr:rowOff>173794</xdr:rowOff>
    </xdr:from>
    <xdr:to>
      <xdr:col>24</xdr:col>
      <xdr:colOff>251518</xdr:colOff>
      <xdr:row>31</xdr:row>
      <xdr:rowOff>172718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AB7C33-0BD8-40C0-B0B1-CA5E85678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238013</xdr:colOff>
      <xdr:row>33</xdr:row>
      <xdr:rowOff>1568</xdr:rowOff>
    </xdr:from>
    <xdr:to>
      <xdr:col>16</xdr:col>
      <xdr:colOff>264190</xdr:colOff>
      <xdr:row>48</xdr:row>
      <xdr:rowOff>1568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C101409-D66D-56A7-6C50-CF2140F52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623</xdr:colOff>
      <xdr:row>0</xdr:row>
      <xdr:rowOff>170396</xdr:rowOff>
    </xdr:from>
    <xdr:to>
      <xdr:col>16</xdr:col>
      <xdr:colOff>265082</xdr:colOff>
      <xdr:row>15</xdr:row>
      <xdr:rowOff>170329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B5F2F-3C27-4BD2-9795-261F5698A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600227</xdr:colOff>
      <xdr:row>0</xdr:row>
      <xdr:rowOff>174100</xdr:rowOff>
    </xdr:from>
    <xdr:to>
      <xdr:col>24</xdr:col>
      <xdr:colOff>299909</xdr:colOff>
      <xdr:row>15</xdr:row>
      <xdr:rowOff>170329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E06467-2406-4F26-BA5B-504F8C339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4743</xdr:colOff>
      <xdr:row>16</xdr:row>
      <xdr:rowOff>164077</xdr:rowOff>
    </xdr:from>
    <xdr:to>
      <xdr:col>15</xdr:col>
      <xdr:colOff>112618</xdr:colOff>
      <xdr:row>31</xdr:row>
      <xdr:rowOff>164077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DBE6C8-9501-4689-A5DE-1434FF86BE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560</xdr:colOff>
      <xdr:row>0</xdr:row>
      <xdr:rowOff>170328</xdr:rowOff>
    </xdr:from>
    <xdr:to>
      <xdr:col>21</xdr:col>
      <xdr:colOff>199293</xdr:colOff>
      <xdr:row>20</xdr:row>
      <xdr:rowOff>47511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FC5B6-C119-432D-93CC-6DAB601CE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4761</xdr:colOff>
      <xdr:row>0</xdr:row>
      <xdr:rowOff>180973</xdr:rowOff>
    </xdr:from>
    <xdr:to>
      <xdr:col>11</xdr:col>
      <xdr:colOff>371474</xdr:colOff>
      <xdr:row>16</xdr:row>
      <xdr:rowOff>132250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15FD36-F690-4239-9A36-021415DE5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608605</xdr:colOff>
      <xdr:row>17</xdr:row>
      <xdr:rowOff>0</xdr:rowOff>
    </xdr:from>
    <xdr:to>
      <xdr:col>15</xdr:col>
      <xdr:colOff>303805</xdr:colOff>
      <xdr:row>31</xdr:row>
      <xdr:rowOff>185530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032700-C179-4E73-9553-080C00DF1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</xdr:colOff>
      <xdr:row>1</xdr:row>
      <xdr:rowOff>3313</xdr:rowOff>
    </xdr:from>
    <xdr:to>
      <xdr:col>15</xdr:col>
      <xdr:colOff>304801</xdr:colOff>
      <xdr:row>15</xdr:row>
      <xdr:rowOff>149086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FDF5E6-D5D9-8FB0-264B-2BE299928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</xdr:colOff>
      <xdr:row>44</xdr:row>
      <xdr:rowOff>180839</xdr:rowOff>
    </xdr:from>
    <xdr:to>
      <xdr:col>15</xdr:col>
      <xdr:colOff>540067</xdr:colOff>
      <xdr:row>66</xdr:row>
      <xdr:rowOff>5727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8848A8-4BEB-4248-AD64-20146452F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150017</xdr:colOff>
      <xdr:row>45</xdr:row>
      <xdr:rowOff>1135</xdr:rowOff>
    </xdr:from>
    <xdr:to>
      <xdr:col>25</xdr:col>
      <xdr:colOff>140873</xdr:colOff>
      <xdr:row>66</xdr:row>
      <xdr:rowOff>10279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D0D4EA-DA74-434E-8B08-008489252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1170</xdr:colOff>
      <xdr:row>0</xdr:row>
      <xdr:rowOff>179656</xdr:rowOff>
    </xdr:from>
    <xdr:to>
      <xdr:col>15</xdr:col>
      <xdr:colOff>537618</xdr:colOff>
      <xdr:row>22</xdr:row>
      <xdr:rowOff>7092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3E2485-E4C9-40BE-9B71-A84EF9F57C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156882</xdr:colOff>
      <xdr:row>1</xdr:row>
      <xdr:rowOff>8964</xdr:rowOff>
    </xdr:from>
    <xdr:to>
      <xdr:col>25</xdr:col>
      <xdr:colOff>147738</xdr:colOff>
      <xdr:row>22</xdr:row>
      <xdr:rowOff>18108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28B55A-D46F-4006-B59B-5B12C6E79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</xdr:colOff>
      <xdr:row>22</xdr:row>
      <xdr:rowOff>174171</xdr:rowOff>
    </xdr:from>
    <xdr:to>
      <xdr:col>15</xdr:col>
      <xdr:colOff>535142</xdr:colOff>
      <xdr:row>43</xdr:row>
      <xdr:rowOff>183315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33F7B6-AD9A-42AB-A56A-8C9CA4366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281344</xdr:colOff>
      <xdr:row>0</xdr:row>
      <xdr:rowOff>179810</xdr:rowOff>
    </xdr:from>
    <xdr:to>
      <xdr:col>9</xdr:col>
      <xdr:colOff>481184</xdr:colOff>
      <xdr:row>15</xdr:row>
      <xdr:rowOff>142277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74C8DD3-6D78-42FD-A738-F781573797A4}"/>
            </a:ext>
          </a:extLst>
        </xdr:cNvPr>
        <xdr:cNvGrpSpPr/>
      </xdr:nvGrpSpPr>
      <xdr:grpSpPr>
        <a:xfrm>
          <a:off x="6126332" y="179810"/>
          <a:ext cx="4458076" cy="2651879"/>
          <a:chOff x="4832930" y="256818"/>
          <a:chExt cx="4459360" cy="2719208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58AF2F5D-AA8E-F3FC-6A54-6839C69DA6C1}"/>
              </a:ext>
            </a:extLst>
          </xdr:cNvPr>
          <xdr:cNvSpPr/>
        </xdr:nvSpPr>
        <xdr:spPr>
          <a:xfrm>
            <a:off x="4933993" y="256818"/>
            <a:ext cx="4358296" cy="2719208"/>
          </a:xfrm>
          <a:prstGeom prst="rect">
            <a:avLst/>
          </a:prstGeom>
          <a:solidFill>
            <a:srgbClr val="CCCCCC"/>
          </a:solidFill>
        </xdr:spPr>
      </xdr:sp>
      <xdr:sp macro="" textlink="">
        <xdr:nvSpPr>
          <xdr:cNvPr id="4" name="Freeform: Shape 3">
            <a:extLst>
              <a:ext uri="{FF2B5EF4-FFF2-40B4-BE49-F238E27FC236}">
                <a16:creationId xmlns:a16="http://schemas.microsoft.com/office/drawing/2014/main" id="{BFBC63B4-B6C9-409B-A9B3-C56E397DE84D}"/>
              </a:ext>
            </a:extLst>
          </xdr:cNvPr>
          <xdr:cNvSpPr/>
        </xdr:nvSpPr>
        <xdr:spPr>
          <a:xfrm>
            <a:off x="5622472" y="650800"/>
            <a:ext cx="1907557" cy="1931242"/>
          </a:xfrm>
          <a:custGeom>
            <a:avLst/>
            <a:gdLst>
              <a:gd name="connsiteX0" fmla="*/ 0 w 1907556"/>
              <a:gd name="connsiteY0" fmla="*/ 953778 h 1907556"/>
              <a:gd name="connsiteX1" fmla="*/ 953778 w 1907556"/>
              <a:gd name="connsiteY1" fmla="*/ 0 h 1907556"/>
              <a:gd name="connsiteX2" fmla="*/ 1907556 w 1907556"/>
              <a:gd name="connsiteY2" fmla="*/ 953778 h 1907556"/>
              <a:gd name="connsiteX3" fmla="*/ 953778 w 1907556"/>
              <a:gd name="connsiteY3" fmla="*/ 1907556 h 1907556"/>
              <a:gd name="connsiteX4" fmla="*/ 0 w 1907556"/>
              <a:gd name="connsiteY4" fmla="*/ 953778 h 190755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907556" h="1907556">
                <a:moveTo>
                  <a:pt x="0" y="953778"/>
                </a:moveTo>
                <a:cubicBezTo>
                  <a:pt x="0" y="427021"/>
                  <a:pt x="427021" y="0"/>
                  <a:pt x="953778" y="0"/>
                </a:cubicBezTo>
                <a:cubicBezTo>
                  <a:pt x="1480535" y="0"/>
                  <a:pt x="1907556" y="427021"/>
                  <a:pt x="1907556" y="953778"/>
                </a:cubicBezTo>
                <a:cubicBezTo>
                  <a:pt x="1907556" y="1480535"/>
                  <a:pt x="1480535" y="1907556"/>
                  <a:pt x="953778" y="1907556"/>
                </a:cubicBezTo>
                <a:cubicBezTo>
                  <a:pt x="427021" y="1907556"/>
                  <a:pt x="0" y="1480535"/>
                  <a:pt x="0" y="953778"/>
                </a:cubicBezTo>
                <a:close/>
              </a:path>
            </a:pathLst>
          </a:custGeom>
          <a:solidFill>
            <a:srgbClr val="FFD33A">
              <a:alpha val="49804"/>
            </a:srgbClr>
          </a:solidFill>
          <a:ln>
            <a:solidFill>
              <a:srgbClr val="FFD33A"/>
            </a:solidFill>
          </a:ln>
        </xdr:spPr>
        <xdr:style>
          <a:lnRef idx="3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alpha val="50000"/>
              <a:hueOff val="0"/>
              <a:satOff val="0"/>
              <a:lumOff val="0"/>
              <a:alphaOff val="0"/>
            </a:schemeClr>
          </a:effectRef>
          <a:fontRef idx="minor">
            <a:schemeClr val="tx1"/>
          </a:fontRef>
        </xdr:style>
        <xdr:txBody>
          <a:bodyPr spcFirstLastPara="0" vert="horz" wrap="square" lIns="266371" tIns="224942" rIns="541333" bIns="224942" numCol="1" spcCol="1270" anchor="ctr" anchorCtr="0">
            <a:noAutofit/>
          </a:bodyPr>
          <a:lstStyle/>
          <a:p>
            <a:pPr marL="0" lvl="0" indent="0" algn="ctr" defTabSz="20002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en-PH" sz="4500" b="1" kern="120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endParaRPr>
          </a:p>
        </xdr:txBody>
      </xdr:sp>
      <xdr:sp macro="" textlink="">
        <xdr:nvSpPr>
          <xdr:cNvPr id="5" name="Freeform: Shape 4">
            <a:extLst>
              <a:ext uri="{FF2B5EF4-FFF2-40B4-BE49-F238E27FC236}">
                <a16:creationId xmlns:a16="http://schemas.microsoft.com/office/drawing/2014/main" id="{009DA960-C79F-162E-2286-3BBCF7CEBC86}"/>
              </a:ext>
            </a:extLst>
          </xdr:cNvPr>
          <xdr:cNvSpPr/>
        </xdr:nvSpPr>
        <xdr:spPr>
          <a:xfrm>
            <a:off x="6708878" y="650800"/>
            <a:ext cx="1907557" cy="1931242"/>
          </a:xfrm>
          <a:custGeom>
            <a:avLst/>
            <a:gdLst>
              <a:gd name="connsiteX0" fmla="*/ 0 w 1907556"/>
              <a:gd name="connsiteY0" fmla="*/ 953778 h 1907556"/>
              <a:gd name="connsiteX1" fmla="*/ 953778 w 1907556"/>
              <a:gd name="connsiteY1" fmla="*/ 0 h 1907556"/>
              <a:gd name="connsiteX2" fmla="*/ 1907556 w 1907556"/>
              <a:gd name="connsiteY2" fmla="*/ 953778 h 1907556"/>
              <a:gd name="connsiteX3" fmla="*/ 953778 w 1907556"/>
              <a:gd name="connsiteY3" fmla="*/ 1907556 h 1907556"/>
              <a:gd name="connsiteX4" fmla="*/ 0 w 1907556"/>
              <a:gd name="connsiteY4" fmla="*/ 953778 h 190755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907556" h="1907556">
                <a:moveTo>
                  <a:pt x="0" y="953778"/>
                </a:moveTo>
                <a:cubicBezTo>
                  <a:pt x="0" y="427021"/>
                  <a:pt x="427021" y="0"/>
                  <a:pt x="953778" y="0"/>
                </a:cubicBezTo>
                <a:cubicBezTo>
                  <a:pt x="1480535" y="0"/>
                  <a:pt x="1907556" y="427021"/>
                  <a:pt x="1907556" y="953778"/>
                </a:cubicBezTo>
                <a:cubicBezTo>
                  <a:pt x="1907556" y="1480535"/>
                  <a:pt x="1480535" y="1907556"/>
                  <a:pt x="953778" y="1907556"/>
                </a:cubicBezTo>
                <a:cubicBezTo>
                  <a:pt x="427021" y="1907556"/>
                  <a:pt x="0" y="1480535"/>
                  <a:pt x="0" y="953778"/>
                </a:cubicBezTo>
                <a:close/>
              </a:path>
            </a:pathLst>
          </a:custGeom>
          <a:solidFill>
            <a:srgbClr val="C4061D">
              <a:alpha val="49804"/>
            </a:srgbClr>
          </a:solidFill>
          <a:ln>
            <a:solidFill>
              <a:srgbClr val="C4061D"/>
            </a:solidFill>
          </a:ln>
        </xdr:spPr>
        <xdr:style>
          <a:lnRef idx="3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alpha val="50000"/>
              <a:hueOff val="0"/>
              <a:satOff val="0"/>
              <a:lumOff val="0"/>
              <a:alphaOff val="0"/>
            </a:schemeClr>
          </a:effectRef>
          <a:fontRef idx="minor">
            <a:schemeClr val="tx1"/>
          </a:fontRef>
        </xdr:style>
        <xdr:txBody>
          <a:bodyPr spcFirstLastPara="0" vert="horz" wrap="square" lIns="541333" tIns="224942" rIns="266371" bIns="224942" numCol="1" spcCol="1270" anchor="ctr" anchorCtr="0">
            <a:noAutofit/>
          </a:bodyPr>
          <a:lstStyle/>
          <a:p>
            <a:pPr marL="0" lvl="0" indent="0" algn="ctr" defTabSz="20002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en-PH" sz="4500" b="1" kern="1200">
              <a:latin typeface="Cambria" panose="02040503050406030204" pitchFamily="18" charset="0"/>
              <a:ea typeface="Cambria" panose="020405030504060302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1F0BEB24-A5B4-A2BF-2049-74FBA1A12824}"/>
              </a:ext>
            </a:extLst>
          </xdr:cNvPr>
          <xdr:cNvSpPr txBox="1"/>
        </xdr:nvSpPr>
        <xdr:spPr>
          <a:xfrm>
            <a:off x="6740476" y="1367029"/>
            <a:ext cx="713750" cy="4142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3000" b="1">
                <a:latin typeface="Cambria" panose="02040503050406030204" pitchFamily="18" charset="0"/>
                <a:ea typeface="Cambria" panose="02040503050406030204" pitchFamily="18" charset="0"/>
              </a:rPr>
              <a:t>5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752BADF-7688-029D-AD02-E5729318BCE6}"/>
              </a:ext>
            </a:extLst>
          </xdr:cNvPr>
          <xdr:cNvSpPr txBox="1"/>
        </xdr:nvSpPr>
        <xdr:spPr>
          <a:xfrm>
            <a:off x="7725830" y="1564214"/>
            <a:ext cx="713750" cy="4142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3000" b="1">
                <a:latin typeface="Cambria" panose="02040503050406030204" pitchFamily="18" charset="0"/>
                <a:ea typeface="Cambria" panose="02040503050406030204" pitchFamily="18" charset="0"/>
              </a:rPr>
              <a:t>4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FE861B7-0BB5-183C-1111-D8D24804B114}"/>
              </a:ext>
            </a:extLst>
          </xdr:cNvPr>
          <xdr:cNvSpPr txBox="1"/>
        </xdr:nvSpPr>
        <xdr:spPr>
          <a:xfrm>
            <a:off x="4832930" y="309830"/>
            <a:ext cx="1591726" cy="4142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000" b="1" i="0">
                <a:solidFill>
                  <a:srgbClr val="FFD33A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Popcorn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3CE89F5F-246B-0324-12A3-51B5E27509C9}"/>
              </a:ext>
            </a:extLst>
          </xdr:cNvPr>
          <xdr:cNvSpPr txBox="1"/>
        </xdr:nvSpPr>
        <xdr:spPr>
          <a:xfrm>
            <a:off x="7700563" y="263447"/>
            <a:ext cx="1591727" cy="4142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000" b="1" i="0">
                <a:solidFill>
                  <a:srgbClr val="C4061D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Soda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9E9C7714-2077-DE97-852C-31E97C8974CB}"/>
              </a:ext>
            </a:extLst>
          </xdr:cNvPr>
          <xdr:cNvSpPr txBox="1"/>
        </xdr:nvSpPr>
        <xdr:spPr>
          <a:xfrm>
            <a:off x="5786704" y="1537709"/>
            <a:ext cx="713750" cy="4142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3000" b="1">
                <a:latin typeface="Cambria" panose="02040503050406030204" pitchFamily="18" charset="0"/>
                <a:ea typeface="Cambria" panose="02040503050406030204" pitchFamily="18" charset="0"/>
              </a:rPr>
              <a:t>6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679A0892-E22C-8281-2623-39FFCBE4E27C}"/>
              </a:ext>
            </a:extLst>
          </xdr:cNvPr>
          <xdr:cNvSpPr txBox="1"/>
        </xdr:nvSpPr>
        <xdr:spPr>
          <a:xfrm>
            <a:off x="8458528" y="2346320"/>
            <a:ext cx="713750" cy="4126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3000" b="1">
                <a:latin typeface="Cambria" panose="02040503050406030204" pitchFamily="18" charset="0"/>
                <a:ea typeface="Cambria" panose="02040503050406030204" pitchFamily="18" charset="0"/>
              </a:rPr>
              <a:t>5</a:t>
            </a:r>
          </a:p>
        </xdr:txBody>
      </xdr:sp>
    </xdr:grpSp>
    <xdr:clientData/>
  </xdr:twoCellAnchor>
  <xdr:twoCellAnchor>
    <xdr:from>
      <xdr:col>6</xdr:col>
      <xdr:colOff>732</xdr:colOff>
      <xdr:row>17</xdr:row>
      <xdr:rowOff>5860</xdr:rowOff>
    </xdr:from>
    <xdr:to>
      <xdr:col>9</xdr:col>
      <xdr:colOff>474785</xdr:colOff>
      <xdr:row>33</xdr:row>
      <xdr:rowOff>2196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6D0015A8-8C0D-465C-9A6C-518CC27A6606}"/>
            </a:ext>
          </a:extLst>
        </xdr:cNvPr>
        <xdr:cNvGrpSpPr/>
      </xdr:nvGrpSpPr>
      <xdr:grpSpPr>
        <a:xfrm>
          <a:off x="6231203" y="3053860"/>
          <a:ext cx="4346806" cy="2865042"/>
          <a:chOff x="5645394" y="4472352"/>
          <a:chExt cx="3815129" cy="2903659"/>
        </a:xfrm>
      </xdr:grpSpPr>
      <xdr:graphicFrame macro="">
        <xdr:nvGraphicFramePr>
          <xdr:cNvPr id="13" name="Diagram 12">
            <a:extLst>
              <a:ext uri="{FF2B5EF4-FFF2-40B4-BE49-F238E27FC236}">
                <a16:creationId xmlns:a16="http://schemas.microsoft.com/office/drawing/2014/main" id="{22EE7487-F755-9EFB-634B-D2FB7D708622}"/>
              </a:ext>
            </a:extLst>
          </xdr:cNvPr>
          <xdr:cNvGraphicFramePr/>
        </xdr:nvGraphicFramePr>
        <xdr:xfrm>
          <a:off x="5645394" y="4472352"/>
          <a:ext cx="3815129" cy="2903659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" r:lo="rId2" r:qs="rId3" r:cs="rId4"/>
          </a:graphicData>
        </a:graphic>
      </xdr:graphicFrame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9AEFEB3-2741-5D3A-94DD-03D2522D3C58}"/>
              </a:ext>
            </a:extLst>
          </xdr:cNvPr>
          <xdr:cNvSpPr txBox="1"/>
        </xdr:nvSpPr>
        <xdr:spPr>
          <a:xfrm>
            <a:off x="8341214" y="6930535"/>
            <a:ext cx="1066555" cy="4080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000" b="1" i="0">
                <a:solidFill>
                  <a:srgbClr val="FFE5A2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Racing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5D37EF7-56AE-60E1-6C48-881B4D719564}"/>
              </a:ext>
            </a:extLst>
          </xdr:cNvPr>
          <xdr:cNvSpPr txBox="1"/>
        </xdr:nvSpPr>
        <xdr:spPr>
          <a:xfrm>
            <a:off x="7390317" y="5756348"/>
            <a:ext cx="308698" cy="4092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 b="1">
                <a:latin typeface="Cambria" panose="02040503050406030204" pitchFamily="18" charset="0"/>
                <a:ea typeface="Cambria" panose="02040503050406030204" pitchFamily="18" charset="0"/>
              </a:rPr>
              <a:t>6</a:t>
            </a: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B33DF20-5DD9-5BB0-BCD6-1C68B53F9D8E}"/>
              </a:ext>
            </a:extLst>
          </xdr:cNvPr>
          <xdr:cNvSpPr txBox="1"/>
        </xdr:nvSpPr>
        <xdr:spPr>
          <a:xfrm>
            <a:off x="6066692" y="4477027"/>
            <a:ext cx="1050207" cy="4092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000" b="1" i="0">
                <a:solidFill>
                  <a:srgbClr val="30D0F7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Action</a:t>
            </a: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28F6A2E-432F-4543-43DD-BC7A2E8D908D}"/>
              </a:ext>
            </a:extLst>
          </xdr:cNvPr>
          <xdr:cNvSpPr txBox="1"/>
        </xdr:nvSpPr>
        <xdr:spPr>
          <a:xfrm>
            <a:off x="5681849" y="6953982"/>
            <a:ext cx="1264074" cy="4080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000" b="1" i="0">
                <a:solidFill>
                  <a:srgbClr val="EB6070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Strategy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346DED14-0FC0-3C09-2462-E7AEA6196ED5}"/>
              </a:ext>
            </a:extLst>
          </xdr:cNvPr>
          <xdr:cNvSpPr txBox="1"/>
        </xdr:nvSpPr>
        <xdr:spPr>
          <a:xfrm>
            <a:off x="7698221" y="5594344"/>
            <a:ext cx="308698" cy="4092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 b="1">
                <a:latin typeface="Cambria" panose="02040503050406030204" pitchFamily="18" charset="0"/>
                <a:ea typeface="Cambria" panose="02040503050406030204" pitchFamily="18" charset="0"/>
              </a:rPr>
              <a:t>3</a:t>
            </a: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6022B193-9196-E0D1-B980-C9BC4476F6D0}"/>
              </a:ext>
            </a:extLst>
          </xdr:cNvPr>
          <xdr:cNvSpPr txBox="1"/>
        </xdr:nvSpPr>
        <xdr:spPr>
          <a:xfrm>
            <a:off x="8010123" y="6361933"/>
            <a:ext cx="308697" cy="4092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 b="1">
                <a:latin typeface="Cambria" panose="02040503050406030204" pitchFamily="18" charset="0"/>
                <a:ea typeface="Cambria" panose="02040503050406030204" pitchFamily="18" charset="0"/>
              </a:rPr>
              <a:t>2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7DA0FBC1-9312-95EA-E27F-480A6554D5B0}"/>
              </a:ext>
            </a:extLst>
          </xdr:cNvPr>
          <xdr:cNvSpPr txBox="1"/>
        </xdr:nvSpPr>
        <xdr:spPr>
          <a:xfrm>
            <a:off x="8572128" y="4717586"/>
            <a:ext cx="310216" cy="4092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 b="1">
                <a:latin typeface="Cambria" panose="02040503050406030204" pitchFamily="18" charset="0"/>
                <a:ea typeface="Cambria" panose="02040503050406030204" pitchFamily="18" charset="0"/>
              </a:rPr>
              <a:t>3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19C5156-D8DA-9648-8EE5-D046FD03AE7D}"/>
              </a:ext>
            </a:extLst>
          </xdr:cNvPr>
          <xdr:cNvSpPr txBox="1"/>
        </xdr:nvSpPr>
        <xdr:spPr>
          <a:xfrm>
            <a:off x="7384800" y="4703520"/>
            <a:ext cx="310216" cy="4092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 b="1">
                <a:latin typeface="Cambria" panose="02040503050406030204" pitchFamily="18" charset="0"/>
                <a:ea typeface="Cambria" panose="02040503050406030204" pitchFamily="18" charset="0"/>
              </a:rPr>
              <a:t>4</a:t>
            </a: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CCD3519-1C44-B2D9-E902-FB2EA53F08D7}"/>
              </a:ext>
            </a:extLst>
          </xdr:cNvPr>
          <xdr:cNvSpPr txBox="1"/>
        </xdr:nvSpPr>
        <xdr:spPr>
          <a:xfrm>
            <a:off x="7082829" y="5562779"/>
            <a:ext cx="308697" cy="4092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 b="1">
                <a:latin typeface="Cambria" panose="02040503050406030204" pitchFamily="18" charset="0"/>
                <a:ea typeface="Cambria" panose="02040503050406030204" pitchFamily="18" charset="0"/>
              </a:rPr>
              <a:t>5</a:t>
            </a: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21CE99AB-9C18-5956-2A9D-E59C458EE1C3}"/>
              </a:ext>
            </a:extLst>
          </xdr:cNvPr>
          <xdr:cNvSpPr txBox="1"/>
        </xdr:nvSpPr>
        <xdr:spPr>
          <a:xfrm>
            <a:off x="7394732" y="6247138"/>
            <a:ext cx="308698" cy="4080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 b="1">
                <a:latin typeface="Cambria" panose="02040503050406030204" pitchFamily="18" charset="0"/>
                <a:ea typeface="Cambria" panose="02040503050406030204" pitchFamily="18" charset="0"/>
              </a:rPr>
              <a:t>4</a:t>
            </a: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CEF9A4A-7D49-D3D7-88EE-AD0C8D21A2C1}"/>
              </a:ext>
            </a:extLst>
          </xdr:cNvPr>
          <xdr:cNvSpPr txBox="1"/>
        </xdr:nvSpPr>
        <xdr:spPr>
          <a:xfrm>
            <a:off x="6729677" y="6303640"/>
            <a:ext cx="310216" cy="4092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 b="1">
                <a:latin typeface="Cambria" panose="02040503050406030204" pitchFamily="18" charset="0"/>
                <a:ea typeface="Cambria" panose="02040503050406030204" pitchFamily="18" charset="0"/>
              </a:rPr>
              <a:t>3</a:t>
            </a:r>
          </a:p>
        </xdr:txBody>
      </xdr:sp>
    </xdr:grpSp>
    <xdr:clientData/>
  </xdr:twoCellAnchor>
  <xdr:twoCellAnchor>
    <xdr:from>
      <xdr:col>10</xdr:col>
      <xdr:colOff>252868</xdr:colOff>
      <xdr:row>0</xdr:row>
      <xdr:rowOff>179810</xdr:rowOff>
    </xdr:from>
    <xdr:to>
      <xdr:col>17</xdr:col>
      <xdr:colOff>526903</xdr:colOff>
      <xdr:row>15</xdr:row>
      <xdr:rowOff>142277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D77DCC81-162E-4C16-B994-C0BD4DA55AC3}"/>
            </a:ext>
          </a:extLst>
        </xdr:cNvPr>
        <xdr:cNvSpPr/>
      </xdr:nvSpPr>
      <xdr:spPr>
        <a:xfrm>
          <a:off x="10875148" y="179810"/>
          <a:ext cx="4358355" cy="2705667"/>
        </a:xfrm>
        <a:prstGeom prst="rect">
          <a:avLst/>
        </a:prstGeom>
        <a:solidFill>
          <a:srgbClr val="CCCCCC"/>
        </a:solidFill>
      </xdr:spPr>
    </xdr:sp>
    <xdr:clientData/>
  </xdr:twoCellAnchor>
  <xdr:twoCellAnchor>
    <xdr:from>
      <xdr:col>11</xdr:col>
      <xdr:colOff>284591</xdr:colOff>
      <xdr:row>2</xdr:row>
      <xdr:rowOff>38430</xdr:rowOff>
    </xdr:from>
    <xdr:to>
      <xdr:col>15</xdr:col>
      <xdr:colOff>169351</xdr:colOff>
      <xdr:row>14</xdr:row>
      <xdr:rowOff>92018</xdr:rowOff>
    </xdr:to>
    <xdr:sp macro="" textlink="">
      <xdr:nvSpPr>
        <xdr:cNvPr id="26" name="Freeform: Shape 25">
          <a:extLst>
            <a:ext uri="{FF2B5EF4-FFF2-40B4-BE49-F238E27FC236}">
              <a16:creationId xmlns:a16="http://schemas.microsoft.com/office/drawing/2014/main" id="{D48726C4-88D8-441D-80FC-4A2800B20CA7}"/>
            </a:ext>
          </a:extLst>
        </xdr:cNvPr>
        <xdr:cNvSpPr/>
      </xdr:nvSpPr>
      <xdr:spPr>
        <a:xfrm>
          <a:off x="11425031" y="404190"/>
          <a:ext cx="2231720" cy="2248148"/>
        </a:xfrm>
        <a:custGeom>
          <a:avLst/>
          <a:gdLst>
            <a:gd name="connsiteX0" fmla="*/ 0 w 1907556"/>
            <a:gd name="connsiteY0" fmla="*/ 953778 h 1907556"/>
            <a:gd name="connsiteX1" fmla="*/ 953778 w 1907556"/>
            <a:gd name="connsiteY1" fmla="*/ 0 h 1907556"/>
            <a:gd name="connsiteX2" fmla="*/ 1907556 w 1907556"/>
            <a:gd name="connsiteY2" fmla="*/ 953778 h 1907556"/>
            <a:gd name="connsiteX3" fmla="*/ 953778 w 1907556"/>
            <a:gd name="connsiteY3" fmla="*/ 1907556 h 1907556"/>
            <a:gd name="connsiteX4" fmla="*/ 0 w 1907556"/>
            <a:gd name="connsiteY4" fmla="*/ 953778 h 190755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907556" h="1907556">
              <a:moveTo>
                <a:pt x="0" y="953778"/>
              </a:moveTo>
              <a:cubicBezTo>
                <a:pt x="0" y="427021"/>
                <a:pt x="427021" y="0"/>
                <a:pt x="953778" y="0"/>
              </a:cubicBezTo>
              <a:cubicBezTo>
                <a:pt x="1480535" y="0"/>
                <a:pt x="1907556" y="427021"/>
                <a:pt x="1907556" y="953778"/>
              </a:cubicBezTo>
              <a:cubicBezTo>
                <a:pt x="1907556" y="1480535"/>
                <a:pt x="1480535" y="1907556"/>
                <a:pt x="953778" y="1907556"/>
              </a:cubicBezTo>
              <a:cubicBezTo>
                <a:pt x="427021" y="1907556"/>
                <a:pt x="0" y="1480535"/>
                <a:pt x="0" y="953778"/>
              </a:cubicBezTo>
              <a:close/>
            </a:path>
          </a:pathLst>
        </a:custGeom>
        <a:solidFill>
          <a:srgbClr val="FFD33A">
            <a:alpha val="49804"/>
          </a:srgbClr>
        </a:solidFill>
        <a:ln>
          <a:solidFill>
            <a:srgbClr val="FFD33A"/>
          </a:solidFill>
        </a:ln>
      </xdr:spPr>
      <xdr:style>
        <a:lnRef idx="3">
          <a:schemeClr val="lt1">
            <a:hueOff val="0"/>
            <a:satOff val="0"/>
            <a:lumOff val="0"/>
            <a:alphaOff val="0"/>
          </a:schemeClr>
        </a:lnRef>
        <a:fillRef idx="1">
          <a:scrgbClr r="0" g="0" b="0"/>
        </a:fillRef>
        <a:effectRef idx="0">
          <a:schemeClr val="accent1">
            <a:alpha val="50000"/>
            <a:hueOff val="0"/>
            <a:satOff val="0"/>
            <a:lumOff val="0"/>
            <a:alphaOff val="0"/>
          </a:schemeClr>
        </a:effectRef>
        <a:fontRef idx="minor">
          <a:schemeClr val="tx1"/>
        </a:fontRef>
      </xdr:style>
      <xdr:txBody>
        <a:bodyPr spcFirstLastPara="0" vert="horz" wrap="square" lIns="266371" tIns="224942" rIns="541333" bIns="224942" numCol="1" spcCol="1270" anchor="ctr" anchorCtr="0">
          <a:noAutofit/>
        </a:bodyPr>
        <a:lstStyle/>
        <a:p>
          <a:pPr marL="0" lvl="0" indent="0" algn="ctr" defTabSz="2000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PH" sz="4500" b="1" kern="1200">
            <a:solidFill>
              <a:schemeClr val="tx1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13</xdr:col>
      <xdr:colOff>567387</xdr:colOff>
      <xdr:row>3</xdr:row>
      <xdr:rowOff>136454</xdr:rowOff>
    </xdr:from>
    <xdr:to>
      <xdr:col>16</xdr:col>
      <xdr:colOff>415782</xdr:colOff>
      <xdr:row>12</xdr:row>
      <xdr:rowOff>179525</xdr:rowOff>
    </xdr:to>
    <xdr:sp macro="" textlink="">
      <xdr:nvSpPr>
        <xdr:cNvPr id="27" name="Freeform: Shape 26">
          <a:extLst>
            <a:ext uri="{FF2B5EF4-FFF2-40B4-BE49-F238E27FC236}">
              <a16:creationId xmlns:a16="http://schemas.microsoft.com/office/drawing/2014/main" id="{F321C8B3-7890-4D39-B8FF-749F8F493E50}"/>
            </a:ext>
          </a:extLst>
        </xdr:cNvPr>
        <xdr:cNvSpPr/>
      </xdr:nvSpPr>
      <xdr:spPr>
        <a:xfrm>
          <a:off x="12835587" y="685094"/>
          <a:ext cx="1677195" cy="1688991"/>
        </a:xfrm>
        <a:custGeom>
          <a:avLst/>
          <a:gdLst>
            <a:gd name="connsiteX0" fmla="*/ 0 w 1907556"/>
            <a:gd name="connsiteY0" fmla="*/ 953778 h 1907556"/>
            <a:gd name="connsiteX1" fmla="*/ 953778 w 1907556"/>
            <a:gd name="connsiteY1" fmla="*/ 0 h 1907556"/>
            <a:gd name="connsiteX2" fmla="*/ 1907556 w 1907556"/>
            <a:gd name="connsiteY2" fmla="*/ 953778 h 1907556"/>
            <a:gd name="connsiteX3" fmla="*/ 953778 w 1907556"/>
            <a:gd name="connsiteY3" fmla="*/ 1907556 h 1907556"/>
            <a:gd name="connsiteX4" fmla="*/ 0 w 1907556"/>
            <a:gd name="connsiteY4" fmla="*/ 953778 h 190755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907556" h="1907556">
              <a:moveTo>
                <a:pt x="0" y="953778"/>
              </a:moveTo>
              <a:cubicBezTo>
                <a:pt x="0" y="427021"/>
                <a:pt x="427021" y="0"/>
                <a:pt x="953778" y="0"/>
              </a:cubicBezTo>
              <a:cubicBezTo>
                <a:pt x="1480535" y="0"/>
                <a:pt x="1907556" y="427021"/>
                <a:pt x="1907556" y="953778"/>
              </a:cubicBezTo>
              <a:cubicBezTo>
                <a:pt x="1907556" y="1480535"/>
                <a:pt x="1480535" y="1907556"/>
                <a:pt x="953778" y="1907556"/>
              </a:cubicBezTo>
              <a:cubicBezTo>
                <a:pt x="427021" y="1907556"/>
                <a:pt x="0" y="1480535"/>
                <a:pt x="0" y="953778"/>
              </a:cubicBezTo>
              <a:close/>
            </a:path>
          </a:pathLst>
        </a:custGeom>
        <a:solidFill>
          <a:srgbClr val="C4061D">
            <a:alpha val="49804"/>
          </a:srgbClr>
        </a:solidFill>
        <a:ln>
          <a:solidFill>
            <a:srgbClr val="C4061D"/>
          </a:solidFill>
        </a:ln>
      </xdr:spPr>
      <xdr:style>
        <a:lnRef idx="3">
          <a:schemeClr val="lt1">
            <a:hueOff val="0"/>
            <a:satOff val="0"/>
            <a:lumOff val="0"/>
            <a:alphaOff val="0"/>
          </a:schemeClr>
        </a:lnRef>
        <a:fillRef idx="1">
          <a:scrgbClr r="0" g="0" b="0"/>
        </a:fillRef>
        <a:effectRef idx="0">
          <a:schemeClr val="accent1">
            <a:alpha val="50000"/>
            <a:hueOff val="0"/>
            <a:satOff val="0"/>
            <a:lumOff val="0"/>
            <a:alphaOff val="0"/>
          </a:schemeClr>
        </a:effectRef>
        <a:fontRef idx="minor">
          <a:schemeClr val="tx1"/>
        </a:fontRef>
      </xdr:style>
      <xdr:txBody>
        <a:bodyPr spcFirstLastPara="0" vert="horz" wrap="square" lIns="541333" tIns="224942" rIns="266371" bIns="224942" numCol="1" spcCol="1270" anchor="ctr" anchorCtr="0">
          <a:noAutofit/>
        </a:bodyPr>
        <a:lstStyle/>
        <a:p>
          <a:pPr marL="0" lvl="0" indent="0" algn="ctr" defTabSz="2000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PH" sz="4500" b="1" kern="12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13</xdr:col>
      <xdr:colOff>598986</xdr:colOff>
      <xdr:row>7</xdr:row>
      <xdr:rowOff>4332</xdr:rowOff>
    </xdr:from>
    <xdr:to>
      <xdr:col>15</xdr:col>
      <xdr:colOff>93546</xdr:colOff>
      <xdr:row>9</xdr:row>
      <xdr:rowOff>50754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2F77256-092C-445E-9A44-199A1986F9A0}"/>
            </a:ext>
          </a:extLst>
        </xdr:cNvPr>
        <xdr:cNvSpPr txBox="1"/>
      </xdr:nvSpPr>
      <xdr:spPr>
        <a:xfrm>
          <a:off x="12867186" y="1284492"/>
          <a:ext cx="713760" cy="412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3000" b="1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15</xdr:col>
      <xdr:colOff>312144</xdr:colOff>
      <xdr:row>8</xdr:row>
      <xdr:rowOff>17655</xdr:rowOff>
    </xdr:from>
    <xdr:to>
      <xdr:col>16</xdr:col>
      <xdr:colOff>416304</xdr:colOff>
      <xdr:row>10</xdr:row>
      <xdr:rowOff>64077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111EFB5-37BA-485D-9AAA-32C29CD76862}"/>
            </a:ext>
          </a:extLst>
        </xdr:cNvPr>
        <xdr:cNvSpPr txBox="1"/>
      </xdr:nvSpPr>
      <xdr:spPr>
        <a:xfrm>
          <a:off x="13799544" y="1480695"/>
          <a:ext cx="713760" cy="412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3000" b="1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10</xdr:col>
      <xdr:colOff>330709</xdr:colOff>
      <xdr:row>0</xdr:row>
      <xdr:rowOff>155695</xdr:rowOff>
    </xdr:from>
    <xdr:to>
      <xdr:col>12</xdr:col>
      <xdr:colOff>510209</xdr:colOff>
      <xdr:row>3</xdr:row>
      <xdr:rowOff>16587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C89AEC1-0F67-4DAE-8BE3-A28D45C57F9F}"/>
            </a:ext>
          </a:extLst>
        </xdr:cNvPr>
        <xdr:cNvSpPr txBox="1"/>
      </xdr:nvSpPr>
      <xdr:spPr>
        <a:xfrm>
          <a:off x="10952989" y="155695"/>
          <a:ext cx="1215820" cy="4095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2000" b="1" i="0">
              <a:solidFill>
                <a:srgbClr val="FFD33A"/>
              </a:solidFill>
              <a:latin typeface="Cambria" panose="02040503050406030204" pitchFamily="18" charset="0"/>
              <a:ea typeface="Cambria" panose="02040503050406030204" pitchFamily="18" charset="0"/>
            </a:rPr>
            <a:t>Popcorn</a:t>
          </a:r>
        </a:p>
      </xdr:txBody>
    </xdr:sp>
    <xdr:clientData/>
  </xdr:twoCellAnchor>
  <xdr:twoCellAnchor>
    <xdr:from>
      <xdr:col>15</xdr:col>
      <xdr:colOff>154356</xdr:colOff>
      <xdr:row>1</xdr:row>
      <xdr:rowOff>3526</xdr:rowOff>
    </xdr:from>
    <xdr:to>
      <xdr:col>17</xdr:col>
      <xdr:colOff>526904</xdr:colOff>
      <xdr:row>3</xdr:row>
      <xdr:rowOff>49948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2088BB0-D56C-44D2-9A12-1656DC7AD678}"/>
            </a:ext>
          </a:extLst>
        </xdr:cNvPr>
        <xdr:cNvSpPr txBox="1"/>
      </xdr:nvSpPr>
      <xdr:spPr>
        <a:xfrm>
          <a:off x="13641756" y="186406"/>
          <a:ext cx="1591748" cy="412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2000" b="1" i="0">
              <a:solidFill>
                <a:srgbClr val="C4061D"/>
              </a:solidFill>
              <a:latin typeface="Cambria" panose="02040503050406030204" pitchFamily="18" charset="0"/>
              <a:ea typeface="Cambria" panose="02040503050406030204" pitchFamily="18" charset="0"/>
            </a:rPr>
            <a:t>Soda</a:t>
          </a:r>
        </a:p>
      </xdr:txBody>
    </xdr:sp>
    <xdr:clientData/>
  </xdr:twoCellAnchor>
  <xdr:twoCellAnchor>
    <xdr:from>
      <xdr:col>12</xdr:col>
      <xdr:colOff>254801</xdr:colOff>
      <xdr:row>7</xdr:row>
      <xdr:rowOff>174162</xdr:rowOff>
    </xdr:from>
    <xdr:to>
      <xdr:col>13</xdr:col>
      <xdr:colOff>358961</xdr:colOff>
      <xdr:row>10</xdr:row>
      <xdr:rowOff>37704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1AEC71E-72C7-41A4-9364-F41627B84BE5}"/>
            </a:ext>
          </a:extLst>
        </xdr:cNvPr>
        <xdr:cNvSpPr txBox="1"/>
      </xdr:nvSpPr>
      <xdr:spPr>
        <a:xfrm>
          <a:off x="11913401" y="1454322"/>
          <a:ext cx="713760" cy="412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3000" b="1">
              <a:latin typeface="Cambria" panose="02040503050406030204" pitchFamily="18" charset="0"/>
              <a:ea typeface="Cambria" panose="02040503050406030204" pitchFamily="18" charset="0"/>
            </a:rPr>
            <a:t>6</a:t>
          </a:r>
        </a:p>
      </xdr:txBody>
    </xdr:sp>
    <xdr:clientData/>
  </xdr:twoCellAnchor>
  <xdr:twoCellAnchor>
    <xdr:from>
      <xdr:col>16</xdr:col>
      <xdr:colOff>302731</xdr:colOff>
      <xdr:row>12</xdr:row>
      <xdr:rowOff>64347</xdr:rowOff>
    </xdr:from>
    <xdr:to>
      <xdr:col>17</xdr:col>
      <xdr:colOff>406891</xdr:colOff>
      <xdr:row>14</xdr:row>
      <xdr:rowOff>109178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15B6B13-62BB-43E3-B0AC-A19109B1A87C}"/>
            </a:ext>
          </a:extLst>
        </xdr:cNvPr>
        <xdr:cNvSpPr txBox="1"/>
      </xdr:nvSpPr>
      <xdr:spPr>
        <a:xfrm>
          <a:off x="14399731" y="2258907"/>
          <a:ext cx="713760" cy="4105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3000" b="1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2451</xdr:colOff>
      <xdr:row>1</xdr:row>
      <xdr:rowOff>4763</xdr:rowOff>
    </xdr:from>
    <xdr:to>
      <xdr:col>10</xdr:col>
      <xdr:colOff>107998</xdr:colOff>
      <xdr:row>15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294F5B-DD6E-49ED-806E-7125C8475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602424</xdr:colOff>
      <xdr:row>15</xdr:row>
      <xdr:rowOff>180856</xdr:rowOff>
    </xdr:from>
    <xdr:to>
      <xdr:col>11</xdr:col>
      <xdr:colOff>152399</xdr:colOff>
      <xdr:row>21</xdr:row>
      <xdr:rowOff>109268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E0845D-D69F-4DCA-AEB7-22DE62D59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6626</xdr:colOff>
      <xdr:row>2</xdr:row>
      <xdr:rowOff>9773</xdr:rowOff>
    </xdr:from>
    <xdr:to>
      <xdr:col>17</xdr:col>
      <xdr:colOff>602974</xdr:colOff>
      <xdr:row>17</xdr:row>
      <xdr:rowOff>9774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B3C2964-9877-4C0C-B0C4-7A47950FA0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86446" y="375533"/>
              <a:ext cx="4863548" cy="2743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13252</xdr:colOff>
      <xdr:row>18</xdr:row>
      <xdr:rowOff>3312</xdr:rowOff>
    </xdr:from>
    <xdr:to>
      <xdr:col>17</xdr:col>
      <xdr:colOff>602974</xdr:colOff>
      <xdr:row>32</xdr:row>
      <xdr:rowOff>149086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6A5A49C-065C-42E0-A0B9-AE50F6335A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3072" y="3295152"/>
              <a:ext cx="4856922" cy="27060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cr0zeath" refreshedDate="46048.055421296296" createdVersion="8" refreshedVersion="8" minRefreshableVersion="3" recordCount="28" xr:uid="{6D87523E-9FA6-4ED7-B67B-96385F67F44A}">
  <cacheSource type="worksheet">
    <worksheetSource name="Table1"/>
  </cacheSource>
  <cacheFields count="4">
    <cacheField name="Games" numFmtId="0">
      <sharedItems/>
    </cacheField>
    <cacheField name="Year" numFmtId="0">
      <sharedItems containsSemiMixedTypes="0" containsString="0" containsNumber="1" containsInteger="1" minValue="1896" maxValue="2016"/>
    </cacheField>
    <cacheField name="City, Country" numFmtId="0">
      <sharedItems count="23">
        <s v="Athens, Greece"/>
        <s v="Paris, France"/>
        <s v="St. Louis, United States"/>
        <s v="London, United Kingdom"/>
        <s v="Stockholm, Sweden"/>
        <s v="Antwerp, Belgium"/>
        <s v="Amsterdam, Netherlands"/>
        <s v="Los Angeles, United States"/>
        <s v="Berlin, Germany"/>
        <s v="Helsinki, Finland"/>
        <s v="Melbourne, Australia"/>
        <s v="Rome, Italy"/>
        <s v="Tokyo, Japan"/>
        <s v="Mexico City, Mexico"/>
        <s v="Munich, West Germany"/>
        <s v="Montreal, Canada"/>
        <s v="Moscow, Soviet Union"/>
        <s v="Seoul, South Korea"/>
        <s v="Barcelona, Spain"/>
        <s v="Atlanta, United States"/>
        <s v="Sydney, Australia"/>
        <s v="Beijing, China"/>
        <s v="Rio de Janeiro, Brazil"/>
      </sharedItems>
    </cacheField>
    <cacheField name="Continent" numFmtId="0">
      <sharedItems count="5">
        <s v="Europe"/>
        <s v="North America"/>
        <s v="Australia"/>
        <s v="Asia"/>
        <s v="South Amer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cr0zeath" refreshedDate="46048.24453935185" createdVersion="8" refreshedVersion="8" minRefreshableVersion="3" recordCount="23" xr:uid="{33E38DDF-AAC3-455D-9917-341A9A2C44E5}">
  <cacheSource type="worksheet">
    <worksheetSource name="Table2"/>
  </cacheSource>
  <cacheFields count="4">
    <cacheField name="Game" numFmtId="0">
      <sharedItems/>
    </cacheField>
    <cacheField name="Year" numFmtId="0">
      <sharedItems containsSemiMixedTypes="0" containsString="0" containsNumber="1" containsInteger="1" minValue="1924" maxValue="2018"/>
    </cacheField>
    <cacheField name="City, County" numFmtId="0">
      <sharedItems/>
    </cacheField>
    <cacheField name="Continent" numFmtId="0">
      <sharedItems count="3">
        <s v="Europe"/>
        <s v="North America"/>
        <s v="As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cr0zeath" refreshedDate="46048.246433449072" createdVersion="8" refreshedVersion="8" minRefreshableVersion="3" recordCount="51" xr:uid="{42FB454A-4B20-4469-832F-3D73EB5A8EA4}">
  <cacheSource type="worksheet">
    <worksheetSource name="Table4"/>
  </cacheSource>
  <cacheFields count="5">
    <cacheField name="Game" numFmtId="0">
      <sharedItems/>
    </cacheField>
    <cacheField name="Year" numFmtId="0">
      <sharedItems containsSemiMixedTypes="0" containsString="0" containsNumber="1" containsInteger="1" minValue="1896" maxValue="2018"/>
    </cacheField>
    <cacheField name="City, County" numFmtId="0">
      <sharedItems/>
    </cacheField>
    <cacheField name="Continent" numFmtId="0">
      <sharedItems count="5">
        <s v="Europe"/>
        <s v="North America"/>
        <s v="Asia"/>
        <s v="Australia"/>
        <s v="South America"/>
      </sharedItems>
    </cacheField>
    <cacheField name="Season" numFmtId="0">
      <sharedItems count="2">
        <s v="Winter Games"/>
        <s v="Summer Gam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S" refreshedDate="46062.574587268522" createdVersion="6" refreshedVersion="6" minRefreshableVersion="3" recordCount="10" xr:uid="{D4F7A0CF-697C-4837-B965-FEDE9FAA2A3B}">
  <cacheSource type="worksheet">
    <worksheetSource name="Table5"/>
  </cacheSource>
  <cacheFields count="3">
    <cacheField name="Age" numFmtId="0">
      <sharedItems containsSemiMixedTypes="0" containsString="0" containsNumber="1" containsInteger="1" minValue="30" maxValue="39" count="10">
        <n v="30"/>
        <n v="31"/>
        <n v="32"/>
        <n v="33"/>
        <n v="34"/>
        <n v="35"/>
        <n v="36"/>
        <n v="37"/>
        <n v="38"/>
        <n v="39"/>
      </sharedItems>
    </cacheField>
    <cacheField name="Investment" numFmtId="164">
      <sharedItems containsSemiMixedTypes="0" containsString="0" containsNumber="1" containsInteger="1" minValue="5500" maxValue="5500"/>
    </cacheField>
    <cacheField name="Total" numFmtId="164">
      <sharedItems containsSemiMixedTypes="0" containsString="0" containsNumber="1" containsInteger="1" minValue="5500" maxValue="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I"/>
    <n v="1896"/>
    <x v="0"/>
    <x v="0"/>
  </r>
  <r>
    <s v="II"/>
    <n v="1900"/>
    <x v="1"/>
    <x v="0"/>
  </r>
  <r>
    <s v="III"/>
    <n v="1904"/>
    <x v="2"/>
    <x v="1"/>
  </r>
  <r>
    <s v="IV"/>
    <n v="1908"/>
    <x v="3"/>
    <x v="0"/>
  </r>
  <r>
    <s v="V"/>
    <n v="1912"/>
    <x v="4"/>
    <x v="0"/>
  </r>
  <r>
    <s v="VII"/>
    <n v="1920"/>
    <x v="5"/>
    <x v="0"/>
  </r>
  <r>
    <s v="VIII"/>
    <n v="1924"/>
    <x v="1"/>
    <x v="0"/>
  </r>
  <r>
    <s v="IX"/>
    <n v="1928"/>
    <x v="6"/>
    <x v="0"/>
  </r>
  <r>
    <s v="X"/>
    <n v="1932"/>
    <x v="7"/>
    <x v="1"/>
  </r>
  <r>
    <s v="XI"/>
    <n v="1936"/>
    <x v="8"/>
    <x v="0"/>
  </r>
  <r>
    <s v="XIV"/>
    <n v="1948"/>
    <x v="3"/>
    <x v="0"/>
  </r>
  <r>
    <s v="XV"/>
    <n v="1952"/>
    <x v="9"/>
    <x v="0"/>
  </r>
  <r>
    <s v="XVI"/>
    <n v="1956"/>
    <x v="10"/>
    <x v="2"/>
  </r>
  <r>
    <s v="XVII"/>
    <n v="1960"/>
    <x v="11"/>
    <x v="0"/>
  </r>
  <r>
    <s v="XVIII"/>
    <n v="1964"/>
    <x v="12"/>
    <x v="3"/>
  </r>
  <r>
    <s v="XIX"/>
    <n v="1968"/>
    <x v="13"/>
    <x v="1"/>
  </r>
  <r>
    <s v="XX"/>
    <n v="1972"/>
    <x v="14"/>
    <x v="0"/>
  </r>
  <r>
    <s v="XXI"/>
    <n v="1976"/>
    <x v="15"/>
    <x v="1"/>
  </r>
  <r>
    <s v="XXII"/>
    <n v="1980"/>
    <x v="16"/>
    <x v="0"/>
  </r>
  <r>
    <s v="XXIII"/>
    <n v="1984"/>
    <x v="7"/>
    <x v="1"/>
  </r>
  <r>
    <s v="XXIV"/>
    <n v="1988"/>
    <x v="17"/>
    <x v="3"/>
  </r>
  <r>
    <s v="XXV"/>
    <n v="1992"/>
    <x v="18"/>
    <x v="0"/>
  </r>
  <r>
    <s v="XXVI"/>
    <n v="1996"/>
    <x v="19"/>
    <x v="1"/>
  </r>
  <r>
    <s v="XXVII"/>
    <n v="2000"/>
    <x v="20"/>
    <x v="2"/>
  </r>
  <r>
    <s v="XXVIII"/>
    <n v="2004"/>
    <x v="0"/>
    <x v="0"/>
  </r>
  <r>
    <s v="XXIX"/>
    <n v="2008"/>
    <x v="21"/>
    <x v="3"/>
  </r>
  <r>
    <s v="XXX"/>
    <n v="2012"/>
    <x v="3"/>
    <x v="0"/>
  </r>
  <r>
    <s v="XXXI"/>
    <n v="2016"/>
    <x v="22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I"/>
    <n v="1924"/>
    <s v="Chamonix, France"/>
    <x v="0"/>
  </r>
  <r>
    <s v="II"/>
    <n v="1928"/>
    <s v="St. Moritz, Switzerland"/>
    <x v="0"/>
  </r>
  <r>
    <s v="III"/>
    <n v="1932"/>
    <s v="Lake Placid, United States"/>
    <x v="1"/>
  </r>
  <r>
    <s v="IV"/>
    <n v="1936"/>
    <s v="Garmisch-Partenkirchen, Germany"/>
    <x v="0"/>
  </r>
  <r>
    <s v="V"/>
    <n v="1948"/>
    <s v="St. Moritz, Switzerland"/>
    <x v="0"/>
  </r>
  <r>
    <s v="VI"/>
    <n v="1952"/>
    <s v="Oslo, Norway"/>
    <x v="0"/>
  </r>
  <r>
    <s v="VII"/>
    <n v="1956"/>
    <s v="Cortina d'Ampezzo, Italy"/>
    <x v="0"/>
  </r>
  <r>
    <s v="VIII"/>
    <n v="1960"/>
    <s v="Squaw Valley, United States"/>
    <x v="1"/>
  </r>
  <r>
    <s v="IX"/>
    <n v="1964"/>
    <s v="Innsbruck, Austria"/>
    <x v="0"/>
  </r>
  <r>
    <s v="X"/>
    <n v="1968"/>
    <s v="Grenoble, France"/>
    <x v="0"/>
  </r>
  <r>
    <s v="XI"/>
    <n v="1972"/>
    <s v="Sapporo, Japan"/>
    <x v="2"/>
  </r>
  <r>
    <s v="XII"/>
    <n v="1976"/>
    <s v="Innsbruck, Austria"/>
    <x v="0"/>
  </r>
  <r>
    <s v="XIII"/>
    <n v="1980"/>
    <s v="Lake Placid, United States"/>
    <x v="1"/>
  </r>
  <r>
    <s v="XIV"/>
    <n v="1984"/>
    <s v="Sarajevo, Yugoslavia"/>
    <x v="0"/>
  </r>
  <r>
    <s v="XV"/>
    <n v="1988"/>
    <s v="Calgary, Canada"/>
    <x v="1"/>
  </r>
  <r>
    <s v="XVI"/>
    <n v="1992"/>
    <s v="Albertville, France"/>
    <x v="0"/>
  </r>
  <r>
    <s v="XVII"/>
    <n v="1994"/>
    <s v="Lillehammer, Norway"/>
    <x v="0"/>
  </r>
  <r>
    <s v="XVIII"/>
    <n v="1998"/>
    <s v="Nagano, Japan"/>
    <x v="2"/>
  </r>
  <r>
    <s v="XIX"/>
    <n v="2002"/>
    <s v="Salt Lake City, United States"/>
    <x v="1"/>
  </r>
  <r>
    <s v="XX"/>
    <n v="2006"/>
    <s v="Turin, Italy"/>
    <x v="0"/>
  </r>
  <r>
    <s v="XXI"/>
    <n v="2010"/>
    <s v="Vancouver, Canada"/>
    <x v="1"/>
  </r>
  <r>
    <s v="XXII"/>
    <n v="2014"/>
    <s v="Sochi, Russia"/>
    <x v="0"/>
  </r>
  <r>
    <s v="XXIII"/>
    <n v="2018"/>
    <s v="Pyeongchang, South Korea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I"/>
    <n v="1924"/>
    <s v="Chamonix, France"/>
    <x v="0"/>
    <x v="0"/>
  </r>
  <r>
    <s v="II"/>
    <n v="1928"/>
    <s v="St. Moritz, Switzerland"/>
    <x v="0"/>
    <x v="0"/>
  </r>
  <r>
    <s v="III"/>
    <n v="1932"/>
    <s v="Lake Placid, United States"/>
    <x v="1"/>
    <x v="0"/>
  </r>
  <r>
    <s v="IV"/>
    <n v="1936"/>
    <s v="Garmisch-Partenkirchen, Germany"/>
    <x v="0"/>
    <x v="0"/>
  </r>
  <r>
    <s v="V"/>
    <n v="1948"/>
    <s v="St. Moritz, Switzerland"/>
    <x v="0"/>
    <x v="0"/>
  </r>
  <r>
    <s v="VI"/>
    <n v="1952"/>
    <s v="Oslo, Norway"/>
    <x v="0"/>
    <x v="0"/>
  </r>
  <r>
    <s v="VII"/>
    <n v="1956"/>
    <s v="Cortina d'Ampezzo, Italy"/>
    <x v="0"/>
    <x v="0"/>
  </r>
  <r>
    <s v="VIII"/>
    <n v="1960"/>
    <s v="Squaw Valley, United States"/>
    <x v="1"/>
    <x v="0"/>
  </r>
  <r>
    <s v="IX"/>
    <n v="1964"/>
    <s v="Innsbruck, Austria"/>
    <x v="0"/>
    <x v="0"/>
  </r>
  <r>
    <s v="X"/>
    <n v="1968"/>
    <s v="Grenoble, France"/>
    <x v="0"/>
    <x v="0"/>
  </r>
  <r>
    <s v="XI"/>
    <n v="1972"/>
    <s v="Sapporo, Japan"/>
    <x v="2"/>
    <x v="0"/>
  </r>
  <r>
    <s v="XII"/>
    <n v="1976"/>
    <s v="Innsbruck, Austria"/>
    <x v="0"/>
    <x v="0"/>
  </r>
  <r>
    <s v="XIII"/>
    <n v="1980"/>
    <s v="Lake Placid, United States"/>
    <x v="1"/>
    <x v="0"/>
  </r>
  <r>
    <s v="XIV"/>
    <n v="1984"/>
    <s v="Sarajevo, Yugoslavia"/>
    <x v="0"/>
    <x v="0"/>
  </r>
  <r>
    <s v="XV"/>
    <n v="1988"/>
    <s v="Calgary, Canada"/>
    <x v="1"/>
    <x v="0"/>
  </r>
  <r>
    <s v="XVI"/>
    <n v="1992"/>
    <s v="Albertville, France"/>
    <x v="0"/>
    <x v="0"/>
  </r>
  <r>
    <s v="XVII"/>
    <n v="1994"/>
    <s v="Lillehammer, Norway"/>
    <x v="0"/>
    <x v="0"/>
  </r>
  <r>
    <s v="XVIII"/>
    <n v="1998"/>
    <s v="Nagano, Japan"/>
    <x v="2"/>
    <x v="0"/>
  </r>
  <r>
    <s v="XIX"/>
    <n v="2002"/>
    <s v="Salt Lake City, United States"/>
    <x v="1"/>
    <x v="0"/>
  </r>
  <r>
    <s v="XX"/>
    <n v="2006"/>
    <s v="Turin, Italy"/>
    <x v="0"/>
    <x v="0"/>
  </r>
  <r>
    <s v="XXI"/>
    <n v="2010"/>
    <s v="Vancouver, Canada"/>
    <x v="1"/>
    <x v="0"/>
  </r>
  <r>
    <s v="XXII"/>
    <n v="2014"/>
    <s v="Sochi, Russia"/>
    <x v="0"/>
    <x v="0"/>
  </r>
  <r>
    <s v="XXIII"/>
    <n v="2018"/>
    <s v="Pyeongchang, South Korea"/>
    <x v="2"/>
    <x v="0"/>
  </r>
  <r>
    <s v="I"/>
    <n v="1896"/>
    <s v="Athens, Greece"/>
    <x v="0"/>
    <x v="1"/>
  </r>
  <r>
    <s v="II"/>
    <n v="1900"/>
    <s v="Paris, France"/>
    <x v="0"/>
    <x v="1"/>
  </r>
  <r>
    <s v="III"/>
    <n v="1904"/>
    <s v="St. Louis, United States"/>
    <x v="1"/>
    <x v="1"/>
  </r>
  <r>
    <s v="IV"/>
    <n v="1908"/>
    <s v="London, United Kingdom"/>
    <x v="0"/>
    <x v="1"/>
  </r>
  <r>
    <s v="V"/>
    <n v="1912"/>
    <s v="Stockholm, Sweden"/>
    <x v="0"/>
    <x v="1"/>
  </r>
  <r>
    <s v="VII"/>
    <n v="1920"/>
    <s v="Antwerp, Belgium"/>
    <x v="0"/>
    <x v="1"/>
  </r>
  <r>
    <s v="VIII"/>
    <n v="1924"/>
    <s v="Paris, France"/>
    <x v="0"/>
    <x v="1"/>
  </r>
  <r>
    <s v="IX"/>
    <n v="1928"/>
    <s v="Amsterdam, Netherlands"/>
    <x v="0"/>
    <x v="1"/>
  </r>
  <r>
    <s v="X"/>
    <n v="1932"/>
    <s v="Los Angeles, United States"/>
    <x v="1"/>
    <x v="1"/>
  </r>
  <r>
    <s v="XI"/>
    <n v="1936"/>
    <s v="Berlin, Germany"/>
    <x v="0"/>
    <x v="1"/>
  </r>
  <r>
    <s v="XIV"/>
    <n v="1948"/>
    <s v="London, United Kingdom"/>
    <x v="0"/>
    <x v="1"/>
  </r>
  <r>
    <s v="XV"/>
    <n v="1952"/>
    <s v="Helsinki, Finland"/>
    <x v="0"/>
    <x v="1"/>
  </r>
  <r>
    <s v="XVI"/>
    <n v="1956"/>
    <s v="Melbourne, Australia"/>
    <x v="3"/>
    <x v="1"/>
  </r>
  <r>
    <s v="XVII"/>
    <n v="1960"/>
    <s v="Rome, Italy"/>
    <x v="0"/>
    <x v="1"/>
  </r>
  <r>
    <s v="XVIII"/>
    <n v="1964"/>
    <s v="Tokyo, Japan"/>
    <x v="2"/>
    <x v="1"/>
  </r>
  <r>
    <s v="XIX"/>
    <n v="1968"/>
    <s v="Mexico City, Mexico"/>
    <x v="1"/>
    <x v="1"/>
  </r>
  <r>
    <s v="XX"/>
    <n v="1972"/>
    <s v="Munich, West Germany"/>
    <x v="0"/>
    <x v="1"/>
  </r>
  <r>
    <s v="XXI"/>
    <n v="1976"/>
    <s v="Montreal, Canada"/>
    <x v="1"/>
    <x v="1"/>
  </r>
  <r>
    <s v="XXII"/>
    <n v="1980"/>
    <s v="Moscow, Soviet Union"/>
    <x v="0"/>
    <x v="1"/>
  </r>
  <r>
    <s v="XXIII"/>
    <n v="1984"/>
    <s v="Los Angeles, United States"/>
    <x v="1"/>
    <x v="1"/>
  </r>
  <r>
    <s v="XXIV"/>
    <n v="1988"/>
    <s v="Seoul, South Korea"/>
    <x v="2"/>
    <x v="1"/>
  </r>
  <r>
    <s v="XXV"/>
    <n v="1992"/>
    <s v="Barcelona, Spain"/>
    <x v="0"/>
    <x v="1"/>
  </r>
  <r>
    <s v="XXVI"/>
    <n v="1996"/>
    <s v="Atlanta, United States"/>
    <x v="1"/>
    <x v="1"/>
  </r>
  <r>
    <s v="XXVII"/>
    <n v="2000"/>
    <s v="Sydney, Australia"/>
    <x v="3"/>
    <x v="1"/>
  </r>
  <r>
    <s v="XXVIII"/>
    <n v="2004"/>
    <s v="Athens, Greece"/>
    <x v="0"/>
    <x v="1"/>
  </r>
  <r>
    <s v="XXIX"/>
    <n v="2008"/>
    <s v="Beijing, China"/>
    <x v="2"/>
    <x v="1"/>
  </r>
  <r>
    <s v="XXX"/>
    <n v="2012"/>
    <s v="London, United Kingdom"/>
    <x v="0"/>
    <x v="1"/>
  </r>
  <r>
    <s v="XXXI"/>
    <n v="2016"/>
    <s v="Rio de Janeiro, Brazil"/>
    <x v="4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500"/>
    <n v="5500"/>
  </r>
  <r>
    <x v="1"/>
    <n v="5500"/>
    <n v="11000"/>
  </r>
  <r>
    <x v="2"/>
    <n v="5500"/>
    <n v="16500"/>
  </r>
  <r>
    <x v="3"/>
    <n v="5500"/>
    <n v="22000"/>
  </r>
  <r>
    <x v="4"/>
    <n v="5500"/>
    <n v="27500"/>
  </r>
  <r>
    <x v="5"/>
    <n v="5500"/>
    <n v="33000"/>
  </r>
  <r>
    <x v="6"/>
    <n v="5500"/>
    <n v="38500"/>
  </r>
  <r>
    <x v="7"/>
    <n v="5500"/>
    <n v="44000"/>
  </r>
  <r>
    <x v="8"/>
    <n v="5500"/>
    <n v="49500"/>
  </r>
  <r>
    <x v="9"/>
    <n v="5500"/>
    <n v="5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71B8F-A4DD-4E63-941E-CDFA24104C6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>
  <location ref="G2:H8" firstHeaderRow="1" firstDataRow="1" firstDataCol="1"/>
  <pivotFields count="4">
    <pivotField showAll="0"/>
    <pivotField showAll="0"/>
    <pivotField showAll="0">
      <items count="24">
        <item x="6"/>
        <item x="5"/>
        <item x="0"/>
        <item x="19"/>
        <item x="18"/>
        <item x="21"/>
        <item x="8"/>
        <item x="9"/>
        <item x="3"/>
        <item x="7"/>
        <item x="10"/>
        <item x="13"/>
        <item x="15"/>
        <item x="16"/>
        <item x="14"/>
        <item x="1"/>
        <item x="22"/>
        <item x="11"/>
        <item x="17"/>
        <item x="2"/>
        <item x="4"/>
        <item x="20"/>
        <item x="12"/>
        <item t="default"/>
      </items>
    </pivotField>
    <pivotField axis="axisRow" dataField="1" showAll="0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Count of Continent" fld="3" subtotal="count" baseField="0" baseItem="0"/>
  </dataFields>
  <chartFormats count="1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1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1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1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1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8649B-89FB-47BD-98B5-248E7D32562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10:H16" firstHeaderRow="1" firstDataRow="1" firstDataCol="1"/>
  <pivotFields count="4">
    <pivotField showAll="0"/>
    <pivotField showAll="0"/>
    <pivotField showAll="0"/>
    <pivotField axis="axisRow" dataField="1" showAll="0" sortType="a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Count of Continent" fld="3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8AC38-87D2-4732-B6B9-E976DA7F704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G2:H6" firstHeaderRow="1" firstDataRow="1" firstDataCol="1"/>
  <pivotFields count="4">
    <pivotField showAll="0"/>
    <pivotField showAll="0"/>
    <pivotField showAll="0"/>
    <pivotField axis="axisRow" dataField="1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unt of Continent" fld="3" subtotal="count" baseField="0" baseItem="0"/>
  </dataFields>
  <chartFormats count="5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A9388-F57D-4D0D-8CFD-287D09989D3D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8:H12" firstHeaderRow="1" firstDataRow="1" firstDataCol="1"/>
  <pivotFields count="4">
    <pivotField showAll="0"/>
    <pivotField showAll="0"/>
    <pivotField showAll="0"/>
    <pivotField axis="axisRow" dataField="1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Continent" fld="3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610C0-AC47-43B9-A18A-9F533853A53F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H2:K9" firstHeaderRow="1" firstDataRow="2" firstDataCol="1"/>
  <pivotFields count="5">
    <pivotField showAll="0"/>
    <pivotField showAll="0"/>
    <pivotField showAll="0"/>
    <pivotField axis="axisRow" dataField="1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0"/>
            </reference>
          </references>
        </pivotArea>
      </autoSortScope>
    </pivotField>
    <pivotField axis="axisCol" showAll="0">
      <items count="3">
        <item x="1"/>
        <item x="0"/>
        <item t="default"/>
      </items>
    </pivotField>
  </pivotFields>
  <rowFields count="1">
    <field x="3"/>
  </rowFields>
  <rowItems count="6">
    <i>
      <x v="2"/>
    </i>
    <i>
      <x v="3"/>
    </i>
    <i>
      <x/>
    </i>
    <i>
      <x v="1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Continent" fld="3" subtotal="count" baseField="0" baseItem="0"/>
  </dataFields>
  <chartFormats count="2"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FDC98-0D60-48B1-8EE0-29BD2C2B893D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F2:G13" firstHeaderRow="1" firstDataRow="1" firstDataCol="1"/>
  <pivotFields count="3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  <pivotField numFmtId="164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Investment" fld="1" baseField="0" baseItem="0" numFmtId="164"/>
  </dataFields>
  <formats count="13">
    <format dxfId="39">
      <pivotArea collapsedLevelsAreSubtotals="1" fieldPosition="0">
        <references count="1">
          <reference field="0" count="0"/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0" type="button" dataOnly="0" labelOnly="1" outline="0" axis="axisRow" fieldPosition="0"/>
    </format>
    <format dxfId="35">
      <pivotArea dataOnly="0" labelOnly="1" fieldPosition="0">
        <references count="1">
          <reference field="0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chartFormats count="1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10943-9F11-471C-9D77-0C7617C73CC6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F15:G26" firstHeaderRow="1" firstDataRow="1" firstDataCol="1"/>
  <pivotFields count="3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4" showAll="0"/>
    <pivotField dataField="1" numFmtId="164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" fld="2" baseField="0" baseItem="0"/>
  </dataFields>
  <formats count="12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0" type="button" dataOnly="0" labelOnly="1" outline="0" axis="axisRow" fieldPosition="0"/>
    </format>
    <format dxfId="42">
      <pivotArea dataOnly="0" labelOnly="1" fieldPosition="0">
        <references count="1">
          <reference field="0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292667-C632-4E43-BD89-454A8F3733F2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4"/>
      <queryTableField id="2" name="Year" tableColumnId="2"/>
      <queryTableField id="3" name="Revenue" tableColumnId="3"/>
    </queryTableFields>
  </queryTableRefresh>
</queryTable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C031B-421F-4F9C-9DF6-7D6E4E5B61AF}" name="Table1" displayName="Table1" ref="B2:E30" totalsRowShown="0" headerRowDxfId="74" dataDxfId="73">
  <autoFilter ref="B2:E30" xr:uid="{2EDC031B-421F-4F9C-9DF6-7D6E4E5B61AF}"/>
  <tableColumns count="4">
    <tableColumn id="1" xr3:uid="{64C4E0B6-6AE3-49D7-9E89-7F3E1A8FEBEB}" name="Games" dataDxfId="72"/>
    <tableColumn id="2" xr3:uid="{5AE99AFF-9EE6-4D70-8102-9FA9A2394C4E}" name="Year" dataDxfId="71"/>
    <tableColumn id="3" xr3:uid="{79F8B51A-1C7C-46B3-B382-939F6044CF43}" name="City, Country" dataDxfId="70"/>
    <tableColumn id="4" xr3:uid="{2324278F-7CA1-4529-8550-147022FCCF5D}" name="Continent" dataDxfId="69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2F4190-AE43-4F1F-9A5E-50DED8149F5E}" name="Table2" displayName="Table2" ref="B2:E25" totalsRowShown="0" headerRowDxfId="68" dataDxfId="67">
  <autoFilter ref="B2:E25" xr:uid="{B22F4190-AE43-4F1F-9A5E-50DED8149F5E}"/>
  <tableColumns count="4">
    <tableColumn id="1" xr3:uid="{E59086C6-7F9C-41BA-BA13-D107FB70B703}" name="Game" dataDxfId="66"/>
    <tableColumn id="2" xr3:uid="{83054EFD-1BCE-4472-A326-4222702405CB}" name="Year" dataDxfId="65"/>
    <tableColumn id="3" xr3:uid="{251FA4BB-6A30-455E-9075-9915D69F4CA3}" name="City, County" dataDxfId="64"/>
    <tableColumn id="4" xr3:uid="{FE5784C1-4C07-46C9-8DA0-766FC68E193C}" name="Continent" dataDxfId="63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DB0AED-D1CB-42DF-875B-DAFC2DF28358}" name="Table4" displayName="Table4" ref="B2:F53" totalsRowShown="0" headerRowDxfId="62" dataDxfId="61">
  <autoFilter ref="B2:F53" xr:uid="{26DB0AED-D1CB-42DF-875B-DAFC2DF28358}"/>
  <tableColumns count="5">
    <tableColumn id="1" xr3:uid="{E6F6444C-C036-4F47-A1D8-9526F323E69C}" name="Game" dataDxfId="60"/>
    <tableColumn id="2" xr3:uid="{835D0D17-E4E6-4291-B033-6F9BDF64CF38}" name="Year" dataDxfId="59"/>
    <tableColumn id="3" xr3:uid="{ADC1CCFF-3C81-409F-81FF-7A51003155AD}" name="City, County" dataDxfId="58"/>
    <tableColumn id="4" xr3:uid="{6541C1C5-B6D2-4FBA-A751-5C3A52673A0A}" name="Continent" dataDxfId="57"/>
    <tableColumn id="5" xr3:uid="{43401414-9FF6-4E5E-9A58-A1F9B76091A4}" name="Season" dataDxfId="56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83B895-DF72-464A-8209-B6BA5917C784}" name="Table3" displayName="Table3" ref="B2:C14" totalsRowShown="0" headerRowDxfId="55" dataDxfId="54">
  <autoFilter ref="B2:C14" xr:uid="{A1982858-CE37-4C87-97D8-C467B4DE6702}"/>
  <tableColumns count="2">
    <tableColumn id="1" xr3:uid="{6969666B-2063-4145-8AA1-F8E5DB92B8AC}" name="Month" dataDxfId="53"/>
    <tableColumn id="2" xr3:uid="{508E5BA7-1BB1-4FA0-B8C1-B50A143EF30E}" name="Average High" dataDxfId="52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092965-9D0F-49E7-825B-88D77EFA9FB4}" name="Table5" displayName="Table5" ref="B2:D12" totalsRowShown="0" headerRowDxfId="26" dataDxfId="25">
  <autoFilter ref="B2:D12" xr:uid="{3AEADF39-BB8B-4B39-8269-E41FBAFDFF91}"/>
  <tableColumns count="3">
    <tableColumn id="1" xr3:uid="{25A92B7D-3D6A-4433-A9D7-F2D461DCD240}" name="Age" dataDxfId="24"/>
    <tableColumn id="2" xr3:uid="{268DF667-2103-409B-B1DC-1FA2A9B6F875}" name="Investment" dataDxfId="23"/>
    <tableColumn id="3" xr3:uid="{917875DB-BF88-4476-A6A9-B18A9F3B9876}" name="Total" dataDxfId="22">
      <calculatedColumnFormula>D2+Table5[[#This Row],[Investment]]</calculatedColumnFormula>
    </tableColumn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34B7A9-DBF2-4CC5-802D-AB52963AACDA}" name="Table47" displayName="Table47" ref="B17:F29" totalsRowShown="0" headerRowDxfId="21" dataDxfId="20">
  <autoFilter ref="B17:F29" xr:uid="{5CC9C6B8-925F-4488-BB0D-722AF994AB1A}"/>
  <tableColumns count="5">
    <tableColumn id="1" xr3:uid="{1C480BC2-1A37-43DA-B83F-5BF031E045A5}" name="Month" dataDxfId="19"/>
    <tableColumn id="2" xr3:uid="{EE22C2E0-E2C7-450B-A8E3-7157263D834D}" name="2019" dataDxfId="18"/>
    <tableColumn id="3" xr3:uid="{364EBB18-244F-4145-8917-9BE6F3FE2DE9}" name="2020" dataDxfId="17"/>
    <tableColumn id="4" xr3:uid="{27F4499E-0056-4331-98F6-149FE9F39141}" name="2021" dataDxfId="16"/>
    <tableColumn id="5" xr3:uid="{D3A74B6F-CD9D-4CD0-9102-6DE64109872C}" name="2022" dataDxfId="15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596B9A-E5C0-493D-836F-022EC9B49564}" name="Table38" displayName="Table38" ref="B2:C14" totalsRowShown="0" headerRowDxfId="14" dataDxfId="13">
  <autoFilter ref="B2:C14" xr:uid="{271F0AFD-5612-4E4C-9E16-A62B966841D7}"/>
  <tableColumns count="2">
    <tableColumn id="1" xr3:uid="{C294A124-C76A-42FB-9313-DBE2575D3ABE}" name="Month" dataDxfId="12"/>
    <tableColumn id="2" xr3:uid="{8E61C7E9-53A3-464E-B881-49A7BA33807F}" name="Revenue" dataDxfId="11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BA5A09-D46F-4FA9-BB58-79D8694FA71F}" name="Table4_2" displayName="Table4_2" ref="B32:D80" tableType="queryTable" totalsRowShown="0">
  <autoFilter ref="B32:D80" xr:uid="{0C5870B6-F34D-4051-BF9C-A864C7C51BAB}"/>
  <sortState xmlns:xlrd2="http://schemas.microsoft.com/office/spreadsheetml/2017/richdata2" ref="B33:D80">
    <sortCondition ref="C32:C80"/>
  </sortState>
  <tableColumns count="3">
    <tableColumn id="4" xr3:uid="{EE7C8829-10E4-43B7-B40A-3A34D05E837F}" uniqueName="4" name="Month" queryTableFieldId="1" dataDxfId="10"/>
    <tableColumn id="2" xr3:uid="{CA31EAA2-1C6A-4FD0-8586-F4CF3083C83C}" uniqueName="2" name="Year" queryTableFieldId="2" dataDxfId="9"/>
    <tableColumn id="3" xr3:uid="{71CA1EDB-306E-457C-96EA-37A8F3E673C6}" uniqueName="3" name="Revenue" queryTableFieldId="3" dataDxfId="8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CF2F8FA-E49D-47FA-AB6B-70DAD791635E}" name="Table110" displayName="Table110" ref="B2:C8" totalsRowShown="0" headerRowDxfId="7" dataDxfId="6">
  <autoFilter ref="B2:C8" xr:uid="{A1BBCDD9-26D0-4B7E-98CB-CCB601D9BD94}"/>
  <tableColumns count="2">
    <tableColumn id="1" xr3:uid="{81FE383A-6B2D-48C8-AE45-3F580FC97D03}" name="Type of Pet" dataDxfId="5"/>
    <tableColumn id="2" xr3:uid="{F0640C9A-F75F-4057-A30F-72A991A67C51}" name="Count" dataDxfId="4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913DB39-671C-429C-B585-B60212DA1C77}" name="Table211" displayName="Table211" ref="B11:C18" totalsRowShown="0" headerRowDxfId="3" dataDxfId="2">
  <autoFilter ref="B11:C18" xr:uid="{810B5375-82F9-4818-B043-4A41D3B5CF4C}"/>
  <tableColumns count="2">
    <tableColumn id="1" xr3:uid="{83E26E58-89EB-49ED-B6F4-7F01F36FC4A9}" name="Quiz Score" dataDxfId="1"/>
    <tableColumn id="2" xr3:uid="{1ACEEE01-0B2F-4F4F-82B6-1403CA849B53}" name="Coun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7278-0A51-4827-9971-553DF8FF41C7}">
  <dimension ref="B2:H30"/>
  <sheetViews>
    <sheetView tabSelected="1" zoomScale="85" zoomScaleNormal="85" workbookViewId="0">
      <selection activeCell="V23" sqref="V23"/>
    </sheetView>
  </sheetViews>
  <sheetFormatPr defaultRowHeight="14.4" x14ac:dyDescent="0.3"/>
  <cols>
    <col min="1" max="1" width="4.5546875" customWidth="1"/>
    <col min="2" max="2" width="12.6640625" style="3" customWidth="1"/>
    <col min="3" max="3" width="10.6640625" style="3" customWidth="1"/>
    <col min="4" max="4" width="27.44140625" style="3" customWidth="1"/>
    <col min="5" max="5" width="23.109375" style="3" customWidth="1"/>
    <col min="6" max="6" width="3.77734375" customWidth="1"/>
    <col min="7" max="7" width="12.88671875" bestFit="1" customWidth="1"/>
    <col min="8" max="8" width="16.6640625" bestFit="1" customWidth="1"/>
    <col min="9" max="9" width="3.5546875" customWidth="1"/>
  </cols>
  <sheetData>
    <row r="2" spans="2:8" x14ac:dyDescent="0.3">
      <c r="B2" s="3" t="s">
        <v>0</v>
      </c>
      <c r="C2" s="3" t="s">
        <v>1</v>
      </c>
      <c r="D2" s="3" t="s">
        <v>2</v>
      </c>
      <c r="E2" s="3" t="s">
        <v>3</v>
      </c>
      <c r="G2" s="1" t="s">
        <v>60</v>
      </c>
      <c r="H2" t="s">
        <v>62</v>
      </c>
    </row>
    <row r="3" spans="2:8" x14ac:dyDescent="0.3">
      <c r="B3" s="3" t="s">
        <v>4</v>
      </c>
      <c r="C3" s="3">
        <v>1896</v>
      </c>
      <c r="D3" s="3" t="s">
        <v>5</v>
      </c>
      <c r="E3" s="3" t="s">
        <v>6</v>
      </c>
      <c r="G3" s="2" t="s">
        <v>6</v>
      </c>
      <c r="H3">
        <v>16</v>
      </c>
    </row>
    <row r="4" spans="2:8" x14ac:dyDescent="0.3">
      <c r="B4" s="3" t="s">
        <v>7</v>
      </c>
      <c r="C4" s="3">
        <v>1900</v>
      </c>
      <c r="D4" s="3" t="s">
        <v>8</v>
      </c>
      <c r="E4" s="3" t="s">
        <v>6</v>
      </c>
      <c r="G4" s="2" t="s">
        <v>11</v>
      </c>
      <c r="H4">
        <v>6</v>
      </c>
    </row>
    <row r="5" spans="2:8" x14ac:dyDescent="0.3">
      <c r="B5" s="3" t="s">
        <v>9</v>
      </c>
      <c r="C5" s="3">
        <v>1904</v>
      </c>
      <c r="D5" s="3" t="s">
        <v>10</v>
      </c>
      <c r="E5" s="3" t="s">
        <v>11</v>
      </c>
      <c r="G5" s="2" t="s">
        <v>35</v>
      </c>
      <c r="H5">
        <v>3</v>
      </c>
    </row>
    <row r="6" spans="2:8" x14ac:dyDescent="0.3">
      <c r="B6" s="3" t="s">
        <v>12</v>
      </c>
      <c r="C6" s="3">
        <v>1908</v>
      </c>
      <c r="D6" s="3" t="s">
        <v>13</v>
      </c>
      <c r="E6" s="3" t="s">
        <v>6</v>
      </c>
      <c r="G6" s="2" t="s">
        <v>30</v>
      </c>
      <c r="H6">
        <v>2</v>
      </c>
    </row>
    <row r="7" spans="2:8" x14ac:dyDescent="0.3">
      <c r="B7" s="3" t="s">
        <v>14</v>
      </c>
      <c r="C7" s="3">
        <v>1912</v>
      </c>
      <c r="D7" s="3" t="s">
        <v>15</v>
      </c>
      <c r="E7" s="3" t="s">
        <v>6</v>
      </c>
      <c r="G7" s="2" t="s">
        <v>59</v>
      </c>
      <c r="H7">
        <v>1</v>
      </c>
    </row>
    <row r="8" spans="2:8" x14ac:dyDescent="0.3">
      <c r="B8" s="3" t="s">
        <v>16</v>
      </c>
      <c r="C8" s="3">
        <v>1920</v>
      </c>
      <c r="D8" s="3" t="s">
        <v>17</v>
      </c>
      <c r="E8" s="3" t="s">
        <v>6</v>
      </c>
      <c r="G8" s="2" t="s">
        <v>61</v>
      </c>
      <c r="H8">
        <v>28</v>
      </c>
    </row>
    <row r="9" spans="2:8" x14ac:dyDescent="0.3">
      <c r="B9" s="3" t="s">
        <v>18</v>
      </c>
      <c r="C9" s="3">
        <v>1924</v>
      </c>
      <c r="D9" s="3" t="s">
        <v>8</v>
      </c>
      <c r="E9" s="3" t="s">
        <v>6</v>
      </c>
    </row>
    <row r="10" spans="2:8" x14ac:dyDescent="0.3">
      <c r="B10" s="3" t="s">
        <v>19</v>
      </c>
      <c r="C10" s="3">
        <v>1928</v>
      </c>
      <c r="D10" s="3" t="s">
        <v>20</v>
      </c>
      <c r="E10" s="3" t="s">
        <v>6</v>
      </c>
      <c r="G10" s="1" t="s">
        <v>60</v>
      </c>
      <c r="H10" t="s">
        <v>62</v>
      </c>
    </row>
    <row r="11" spans="2:8" x14ac:dyDescent="0.3">
      <c r="B11" s="3" t="s">
        <v>21</v>
      </c>
      <c r="C11" s="3">
        <v>1932</v>
      </c>
      <c r="D11" s="3" t="s">
        <v>22</v>
      </c>
      <c r="E11" s="3" t="s">
        <v>11</v>
      </c>
      <c r="G11" s="2" t="s">
        <v>59</v>
      </c>
      <c r="H11">
        <v>1</v>
      </c>
    </row>
    <row r="12" spans="2:8" x14ac:dyDescent="0.3">
      <c r="B12" s="3" t="s">
        <v>23</v>
      </c>
      <c r="C12" s="3">
        <v>1936</v>
      </c>
      <c r="D12" s="3" t="s">
        <v>24</v>
      </c>
      <c r="E12" s="3" t="s">
        <v>6</v>
      </c>
      <c r="G12" s="2" t="s">
        <v>30</v>
      </c>
      <c r="H12">
        <v>2</v>
      </c>
    </row>
    <row r="13" spans="2:8" x14ac:dyDescent="0.3">
      <c r="B13" s="3" t="s">
        <v>25</v>
      </c>
      <c r="C13" s="3">
        <v>1948</v>
      </c>
      <c r="D13" s="3" t="s">
        <v>13</v>
      </c>
      <c r="E13" s="3" t="s">
        <v>6</v>
      </c>
      <c r="G13" s="2" t="s">
        <v>35</v>
      </c>
      <c r="H13">
        <v>3</v>
      </c>
    </row>
    <row r="14" spans="2:8" x14ac:dyDescent="0.3">
      <c r="B14" s="3" t="s">
        <v>26</v>
      </c>
      <c r="C14" s="3">
        <v>1952</v>
      </c>
      <c r="D14" s="3" t="s">
        <v>27</v>
      </c>
      <c r="E14" s="3" t="s">
        <v>6</v>
      </c>
      <c r="G14" s="2" t="s">
        <v>11</v>
      </c>
      <c r="H14">
        <v>6</v>
      </c>
    </row>
    <row r="15" spans="2:8" x14ac:dyDescent="0.3">
      <c r="B15" s="3" t="s">
        <v>28</v>
      </c>
      <c r="C15" s="3">
        <v>1956</v>
      </c>
      <c r="D15" s="3" t="s">
        <v>29</v>
      </c>
      <c r="E15" s="3" t="s">
        <v>30</v>
      </c>
      <c r="G15" s="2" t="s">
        <v>6</v>
      </c>
      <c r="H15">
        <v>16</v>
      </c>
    </row>
    <row r="16" spans="2:8" x14ac:dyDescent="0.3">
      <c r="B16" s="3" t="s">
        <v>31</v>
      </c>
      <c r="C16" s="3">
        <v>1960</v>
      </c>
      <c r="D16" s="3" t="s">
        <v>32</v>
      </c>
      <c r="E16" s="3" t="s">
        <v>6</v>
      </c>
      <c r="G16" s="2" t="s">
        <v>61</v>
      </c>
      <c r="H16">
        <v>28</v>
      </c>
    </row>
    <row r="17" spans="2:8" x14ac:dyDescent="0.3">
      <c r="B17" s="3" t="s">
        <v>33</v>
      </c>
      <c r="C17" s="3">
        <v>1964</v>
      </c>
      <c r="D17" s="3" t="s">
        <v>34</v>
      </c>
      <c r="E17" s="3" t="s">
        <v>35</v>
      </c>
    </row>
    <row r="18" spans="2:8" x14ac:dyDescent="0.3">
      <c r="B18" s="3" t="s">
        <v>36</v>
      </c>
      <c r="C18" s="3">
        <v>1968</v>
      </c>
      <c r="D18" s="3" t="s">
        <v>37</v>
      </c>
      <c r="E18" s="3" t="s">
        <v>11</v>
      </c>
    </row>
    <row r="19" spans="2:8" x14ac:dyDescent="0.3">
      <c r="B19" s="3" t="s">
        <v>38</v>
      </c>
      <c r="C19" s="3">
        <v>1972</v>
      </c>
      <c r="D19" s="3" t="s">
        <v>39</v>
      </c>
      <c r="E19" s="3" t="s">
        <v>6</v>
      </c>
      <c r="G19" t="s">
        <v>60</v>
      </c>
      <c r="H19" t="s">
        <v>62</v>
      </c>
    </row>
    <row r="20" spans="2:8" x14ac:dyDescent="0.3">
      <c r="B20" s="3" t="s">
        <v>40</v>
      </c>
      <c r="C20" s="3">
        <v>1976</v>
      </c>
      <c r="D20" s="3" t="s">
        <v>41</v>
      </c>
      <c r="E20" s="3" t="s">
        <v>11</v>
      </c>
      <c r="G20" t="s">
        <v>6</v>
      </c>
      <c r="H20">
        <v>16</v>
      </c>
    </row>
    <row r="21" spans="2:8" x14ac:dyDescent="0.3">
      <c r="B21" s="3" t="s">
        <v>42</v>
      </c>
      <c r="C21" s="3">
        <v>1980</v>
      </c>
      <c r="D21" s="3" t="s">
        <v>43</v>
      </c>
      <c r="E21" s="3" t="s">
        <v>6</v>
      </c>
      <c r="G21" t="s">
        <v>11</v>
      </c>
      <c r="H21">
        <v>6</v>
      </c>
    </row>
    <row r="22" spans="2:8" x14ac:dyDescent="0.3">
      <c r="B22" s="3" t="s">
        <v>44</v>
      </c>
      <c r="C22" s="3">
        <v>1984</v>
      </c>
      <c r="D22" s="3" t="s">
        <v>22</v>
      </c>
      <c r="E22" s="3" t="s">
        <v>11</v>
      </c>
      <c r="G22" t="s">
        <v>35</v>
      </c>
      <c r="H22">
        <v>3</v>
      </c>
    </row>
    <row r="23" spans="2:8" x14ac:dyDescent="0.3">
      <c r="B23" s="3" t="s">
        <v>45</v>
      </c>
      <c r="C23" s="3">
        <v>1988</v>
      </c>
      <c r="D23" s="3" t="s">
        <v>46</v>
      </c>
      <c r="E23" s="3" t="s">
        <v>35</v>
      </c>
      <c r="G23" t="s">
        <v>30</v>
      </c>
      <c r="H23">
        <v>2</v>
      </c>
    </row>
    <row r="24" spans="2:8" x14ac:dyDescent="0.3">
      <c r="B24" s="3" t="s">
        <v>47</v>
      </c>
      <c r="C24" s="3">
        <v>1992</v>
      </c>
      <c r="D24" s="3" t="s">
        <v>48</v>
      </c>
      <c r="E24" s="3" t="s">
        <v>6</v>
      </c>
      <c r="G24" t="s">
        <v>59</v>
      </c>
      <c r="H24">
        <v>1</v>
      </c>
    </row>
    <row r="25" spans="2:8" x14ac:dyDescent="0.3">
      <c r="B25" s="3" t="s">
        <v>49</v>
      </c>
      <c r="C25" s="3">
        <v>1996</v>
      </c>
      <c r="D25" s="3" t="s">
        <v>50</v>
      </c>
      <c r="E25" s="3" t="s">
        <v>11</v>
      </c>
    </row>
    <row r="26" spans="2:8" x14ac:dyDescent="0.3">
      <c r="B26" s="3" t="s">
        <v>51</v>
      </c>
      <c r="C26" s="3">
        <v>2000</v>
      </c>
      <c r="D26" s="3" t="s">
        <v>52</v>
      </c>
      <c r="E26" s="3" t="s">
        <v>30</v>
      </c>
    </row>
    <row r="27" spans="2:8" x14ac:dyDescent="0.3">
      <c r="B27" s="3" t="s">
        <v>53</v>
      </c>
      <c r="C27" s="3">
        <v>2004</v>
      </c>
      <c r="D27" s="3" t="s">
        <v>5</v>
      </c>
      <c r="E27" s="3" t="s">
        <v>6</v>
      </c>
    </row>
    <row r="28" spans="2:8" x14ac:dyDescent="0.3">
      <c r="B28" s="3" t="s">
        <v>54</v>
      </c>
      <c r="C28" s="3">
        <v>2008</v>
      </c>
      <c r="D28" s="3" t="s">
        <v>55</v>
      </c>
      <c r="E28" s="3" t="s">
        <v>35</v>
      </c>
    </row>
    <row r="29" spans="2:8" x14ac:dyDescent="0.3">
      <c r="B29" s="3" t="s">
        <v>56</v>
      </c>
      <c r="C29" s="3">
        <v>2012</v>
      </c>
      <c r="D29" s="3" t="s">
        <v>13</v>
      </c>
      <c r="E29" s="3" t="s">
        <v>6</v>
      </c>
    </row>
    <row r="30" spans="2:8" x14ac:dyDescent="0.3">
      <c r="B30" s="3" t="s">
        <v>57</v>
      </c>
      <c r="C30" s="3">
        <v>2016</v>
      </c>
      <c r="D30" s="3" t="s">
        <v>58</v>
      </c>
      <c r="E30" s="3" t="s">
        <v>59</v>
      </c>
    </row>
  </sheetData>
  <sheetProtection algorithmName="SHA-512" hashValue="NzYqfNynoR+z9T2F+pTOLxzpB0u2/FOafifoncNTRtmgutpfc34Ph3cXCZJJ3Ii9rt10yR7y+D1wFm6ulo3PCQ==" saltValue="TwshENX718H0bj0Cfk9ZQA==" spinCount="100000" sheet="1" objects="1" scenarios="1" selectLockedCells="1" selectUnlockedCells="1"/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A28B-BDBF-4B3F-9A0A-B6EA50928820}">
  <dimension ref="B2:AB39"/>
  <sheetViews>
    <sheetView topLeftCell="D1" zoomScaleNormal="100" workbookViewId="0">
      <selection activeCell="V23" sqref="V23"/>
    </sheetView>
  </sheetViews>
  <sheetFormatPr defaultColWidth="8.88671875" defaultRowHeight="14.4" x14ac:dyDescent="0.3"/>
  <cols>
    <col min="1" max="1" width="2.21875" style="3" customWidth="1"/>
    <col min="2" max="2" width="10.88671875" style="3" bestFit="1" customWidth="1"/>
    <col min="3" max="3" width="9.5546875" style="3" bestFit="1" customWidth="1"/>
    <col min="4" max="4" width="32" style="3" bestFit="1" customWidth="1"/>
    <col min="5" max="5" width="15.5546875" style="3" customWidth="1"/>
    <col min="6" max="6" width="3.88671875" style="3" customWidth="1"/>
    <col min="7" max="7" width="13.44140625" style="3" bestFit="1" customWidth="1"/>
    <col min="8" max="8" width="18.33203125" style="3" bestFit="1" customWidth="1"/>
    <col min="9" max="9" width="3" style="3" customWidth="1"/>
    <col min="10" max="16384" width="8.88671875" style="3"/>
  </cols>
  <sheetData>
    <row r="2" spans="2:28" x14ac:dyDescent="0.3">
      <c r="B2" s="3" t="s">
        <v>86</v>
      </c>
      <c r="C2" s="3" t="s">
        <v>1</v>
      </c>
      <c r="D2" s="3" t="s">
        <v>87</v>
      </c>
      <c r="E2" s="3" t="s">
        <v>3</v>
      </c>
      <c r="F2"/>
      <c r="G2" s="1" t="s">
        <v>60</v>
      </c>
      <c r="H2" t="s">
        <v>62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2:28" x14ac:dyDescent="0.3">
      <c r="B3" s="3" t="s">
        <v>4</v>
      </c>
      <c r="C3" s="3">
        <v>1924</v>
      </c>
      <c r="D3" s="3" t="s">
        <v>63</v>
      </c>
      <c r="E3" s="3" t="s">
        <v>6</v>
      </c>
      <c r="F3"/>
      <c r="G3" s="2" t="s">
        <v>6</v>
      </c>
      <c r="H3">
        <v>14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2:28" x14ac:dyDescent="0.3">
      <c r="B4" s="3" t="s">
        <v>7</v>
      </c>
      <c r="C4" s="3">
        <v>1928</v>
      </c>
      <c r="D4" s="3" t="s">
        <v>64</v>
      </c>
      <c r="E4" s="3" t="s">
        <v>6</v>
      </c>
      <c r="F4"/>
      <c r="G4" s="2" t="s">
        <v>11</v>
      </c>
      <c r="H4">
        <v>6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2:28" x14ac:dyDescent="0.3">
      <c r="B5" s="3" t="s">
        <v>9</v>
      </c>
      <c r="C5" s="3">
        <v>1932</v>
      </c>
      <c r="D5" s="3" t="s">
        <v>65</v>
      </c>
      <c r="E5" s="3" t="s">
        <v>11</v>
      </c>
      <c r="F5"/>
      <c r="G5" s="2" t="s">
        <v>35</v>
      </c>
      <c r="H5">
        <v>3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2:28" x14ac:dyDescent="0.3">
      <c r="B6" s="3" t="s">
        <v>12</v>
      </c>
      <c r="C6" s="3">
        <v>1936</v>
      </c>
      <c r="D6" s="3" t="s">
        <v>66</v>
      </c>
      <c r="E6" s="3" t="s">
        <v>6</v>
      </c>
      <c r="F6"/>
      <c r="G6" s="2" t="s">
        <v>61</v>
      </c>
      <c r="H6">
        <v>23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 spans="2:28" x14ac:dyDescent="0.3">
      <c r="B7" s="3" t="s">
        <v>14</v>
      </c>
      <c r="C7" s="3">
        <v>1948</v>
      </c>
      <c r="D7" s="3" t="s">
        <v>64</v>
      </c>
      <c r="E7" s="3" t="s">
        <v>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 spans="2:28" x14ac:dyDescent="0.3">
      <c r="B8" s="3" t="s">
        <v>67</v>
      </c>
      <c r="C8" s="3">
        <v>1952</v>
      </c>
      <c r="D8" s="3" t="s">
        <v>68</v>
      </c>
      <c r="E8" s="3" t="s">
        <v>6</v>
      </c>
      <c r="F8"/>
      <c r="G8" s="1" t="s">
        <v>60</v>
      </c>
      <c r="H8" t="s">
        <v>62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2:28" x14ac:dyDescent="0.3">
      <c r="B9" s="3" t="s">
        <v>16</v>
      </c>
      <c r="C9" s="3">
        <v>1956</v>
      </c>
      <c r="D9" s="3" t="s">
        <v>69</v>
      </c>
      <c r="E9" s="3" t="s">
        <v>6</v>
      </c>
      <c r="F9"/>
      <c r="G9" s="2" t="s">
        <v>35</v>
      </c>
      <c r="H9">
        <v>3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2:28" x14ac:dyDescent="0.3">
      <c r="B10" s="3" t="s">
        <v>18</v>
      </c>
      <c r="C10" s="3">
        <v>1960</v>
      </c>
      <c r="D10" s="3" t="s">
        <v>70</v>
      </c>
      <c r="E10" s="3" t="s">
        <v>11</v>
      </c>
      <c r="F10"/>
      <c r="G10" s="2" t="s">
        <v>11</v>
      </c>
      <c r="H10">
        <v>6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2:28" x14ac:dyDescent="0.3">
      <c r="B11" s="3" t="s">
        <v>19</v>
      </c>
      <c r="C11" s="3">
        <v>1964</v>
      </c>
      <c r="D11" s="3" t="s">
        <v>71</v>
      </c>
      <c r="E11" s="3" t="s">
        <v>6</v>
      </c>
      <c r="F11"/>
      <c r="G11" s="2" t="s">
        <v>6</v>
      </c>
      <c r="H11">
        <v>14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2:28" x14ac:dyDescent="0.3">
      <c r="B12" s="3" t="s">
        <v>21</v>
      </c>
      <c r="C12" s="3">
        <v>1968</v>
      </c>
      <c r="D12" s="3" t="s">
        <v>72</v>
      </c>
      <c r="E12" s="3" t="s">
        <v>6</v>
      </c>
      <c r="F12"/>
      <c r="G12" s="2" t="s">
        <v>61</v>
      </c>
      <c r="H12">
        <v>23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2:28" x14ac:dyDescent="0.3">
      <c r="B13" s="3" t="s">
        <v>23</v>
      </c>
      <c r="C13" s="3">
        <v>1972</v>
      </c>
      <c r="D13" s="3" t="s">
        <v>73</v>
      </c>
      <c r="E13" s="3" t="s">
        <v>35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2:28" x14ac:dyDescent="0.3">
      <c r="B14" s="3" t="s">
        <v>74</v>
      </c>
      <c r="C14" s="3">
        <v>1976</v>
      </c>
      <c r="D14" s="3" t="s">
        <v>71</v>
      </c>
      <c r="E14" s="3" t="s">
        <v>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2:28" x14ac:dyDescent="0.3">
      <c r="B15" s="3" t="s">
        <v>75</v>
      </c>
      <c r="C15" s="3">
        <v>1980</v>
      </c>
      <c r="D15" s="3" t="s">
        <v>65</v>
      </c>
      <c r="E15" s="3" t="s">
        <v>11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2:28" x14ac:dyDescent="0.3">
      <c r="B16" s="3" t="s">
        <v>25</v>
      </c>
      <c r="C16" s="3">
        <v>1984</v>
      </c>
      <c r="D16" s="3" t="s">
        <v>76</v>
      </c>
      <c r="E16" s="3" t="s">
        <v>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 spans="2:28" x14ac:dyDescent="0.3">
      <c r="B17" s="3" t="s">
        <v>26</v>
      </c>
      <c r="C17" s="3">
        <v>1988</v>
      </c>
      <c r="D17" s="3" t="s">
        <v>77</v>
      </c>
      <c r="E17" s="3" t="s">
        <v>11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2:28" x14ac:dyDescent="0.3">
      <c r="B18" s="3" t="s">
        <v>28</v>
      </c>
      <c r="C18" s="3">
        <v>1992</v>
      </c>
      <c r="D18" s="3" t="s">
        <v>78</v>
      </c>
      <c r="E18" s="3" t="s">
        <v>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2:28" x14ac:dyDescent="0.3">
      <c r="B19" s="3" t="s">
        <v>31</v>
      </c>
      <c r="C19" s="3">
        <v>1994</v>
      </c>
      <c r="D19" s="3" t="s">
        <v>79</v>
      </c>
      <c r="E19" s="3" t="s">
        <v>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2:28" x14ac:dyDescent="0.3">
      <c r="B20" s="3" t="s">
        <v>33</v>
      </c>
      <c r="C20" s="3">
        <v>1998</v>
      </c>
      <c r="D20" s="3" t="s">
        <v>80</v>
      </c>
      <c r="E20" s="3" t="s">
        <v>35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2:28" x14ac:dyDescent="0.3">
      <c r="B21" s="3" t="s">
        <v>36</v>
      </c>
      <c r="C21" s="3">
        <v>2002</v>
      </c>
      <c r="D21" s="3" t="s">
        <v>81</v>
      </c>
      <c r="E21" s="3" t="s">
        <v>11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2:28" x14ac:dyDescent="0.3">
      <c r="B22" s="3" t="s">
        <v>38</v>
      </c>
      <c r="C22" s="3">
        <v>2006</v>
      </c>
      <c r="D22" s="3" t="s">
        <v>82</v>
      </c>
      <c r="E22" s="3" t="s">
        <v>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2:28" x14ac:dyDescent="0.3">
      <c r="B23" s="3" t="s">
        <v>40</v>
      </c>
      <c r="C23" s="3">
        <v>2010</v>
      </c>
      <c r="D23" s="3" t="s">
        <v>83</v>
      </c>
      <c r="E23" s="3" t="s">
        <v>11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2:28" x14ac:dyDescent="0.3">
      <c r="B24" s="3" t="s">
        <v>42</v>
      </c>
      <c r="C24" s="3">
        <v>2014</v>
      </c>
      <c r="D24" s="3" t="s">
        <v>84</v>
      </c>
      <c r="E24" s="3" t="s">
        <v>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2:28" x14ac:dyDescent="0.3">
      <c r="B25" s="3" t="s">
        <v>44</v>
      </c>
      <c r="C25" s="3">
        <v>2018</v>
      </c>
      <c r="D25" s="3" t="s">
        <v>85</v>
      </c>
      <c r="E25" s="3" t="s">
        <v>35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2:28" x14ac:dyDescent="0.3"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2:28" x14ac:dyDescent="0.3"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2:28" x14ac:dyDescent="0.3"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2:28" x14ac:dyDescent="0.3"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2:28" x14ac:dyDescent="0.3"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2:28" x14ac:dyDescent="0.3"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2:28" x14ac:dyDescent="0.3"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6:28" x14ac:dyDescent="0.3"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6:28" x14ac:dyDescent="0.3"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6:28" x14ac:dyDescent="0.3"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6:28" x14ac:dyDescent="0.3"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8" x14ac:dyDescent="0.3"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8" x14ac:dyDescent="0.3">
      <c r="F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8" x14ac:dyDescent="0.3">
      <c r="F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</sheetData>
  <sheetProtection algorithmName="SHA-512" hashValue="p5JfLmQj3duYT3/fdby1O4hq+R0n3NOxI/BiNQrlMSUfguiFvJ1Kp7zrBEEPNFDRMyz51si+PooJIrMdd+z+5Q==" saltValue="A8YPUrKlWsQQbtgvwlckdQ==" spinCount="100000" sheet="1" objects="1" scenarios="1" selectLockedCells="1" selectUnlockedCells="1"/>
  <pageMargins left="0.7" right="0.7" top="0.75" bottom="0.75" header="0.3" footer="0.3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EAAE-C8E5-44B6-A06F-01FFE762E4F1}">
  <dimension ref="B2:K53"/>
  <sheetViews>
    <sheetView zoomScale="85" zoomScaleNormal="85" workbookViewId="0">
      <selection activeCell="V23" sqref="V23"/>
    </sheetView>
  </sheetViews>
  <sheetFormatPr defaultRowHeight="14.4" x14ac:dyDescent="0.3"/>
  <cols>
    <col min="1" max="1" width="3.5546875" customWidth="1"/>
    <col min="2" max="2" width="10.33203125" style="3" bestFit="1" customWidth="1"/>
    <col min="3" max="3" width="9.109375" style="3" bestFit="1" customWidth="1"/>
    <col min="4" max="4" width="29.5546875" style="3" bestFit="1" customWidth="1"/>
    <col min="5" max="5" width="13.77734375" style="3" bestFit="1" customWidth="1"/>
    <col min="6" max="6" width="14" style="3" bestFit="1" customWidth="1"/>
    <col min="7" max="7" width="3.5546875" customWidth="1"/>
    <col min="8" max="8" width="17.33203125" bestFit="1" customWidth="1"/>
    <col min="9" max="9" width="15.5546875" bestFit="1" customWidth="1"/>
    <col min="10" max="10" width="12.88671875" bestFit="1" customWidth="1"/>
    <col min="11" max="11" width="10.77734375" bestFit="1" customWidth="1"/>
    <col min="12" max="12" width="3.5546875" customWidth="1"/>
  </cols>
  <sheetData>
    <row r="2" spans="2:11" x14ac:dyDescent="0.3">
      <c r="B2" s="3" t="s">
        <v>86</v>
      </c>
      <c r="C2" s="3" t="s">
        <v>1</v>
      </c>
      <c r="D2" s="3" t="s">
        <v>87</v>
      </c>
      <c r="E2" s="3" t="s">
        <v>3</v>
      </c>
      <c r="F2" s="3" t="s">
        <v>90</v>
      </c>
      <c r="H2" s="1" t="s">
        <v>62</v>
      </c>
      <c r="I2" s="1" t="s">
        <v>91</v>
      </c>
    </row>
    <row r="3" spans="2:11" x14ac:dyDescent="0.3">
      <c r="B3" s="3" t="s">
        <v>4</v>
      </c>
      <c r="C3" s="3">
        <v>1924</v>
      </c>
      <c r="D3" s="3" t="s">
        <v>63</v>
      </c>
      <c r="E3" s="3" t="s">
        <v>6</v>
      </c>
      <c r="F3" s="3" t="s">
        <v>88</v>
      </c>
      <c r="H3" s="1" t="s">
        <v>60</v>
      </c>
      <c r="I3" t="s">
        <v>89</v>
      </c>
      <c r="J3" t="s">
        <v>88</v>
      </c>
      <c r="K3" t="s">
        <v>61</v>
      </c>
    </row>
    <row r="4" spans="2:11" x14ac:dyDescent="0.3">
      <c r="B4" s="3" t="s">
        <v>7</v>
      </c>
      <c r="C4" s="3">
        <v>1928</v>
      </c>
      <c r="D4" s="3" t="s">
        <v>64</v>
      </c>
      <c r="E4" s="3" t="s">
        <v>6</v>
      </c>
      <c r="F4" s="3" t="s">
        <v>88</v>
      </c>
      <c r="H4" s="2" t="s">
        <v>6</v>
      </c>
      <c r="I4">
        <v>16</v>
      </c>
      <c r="J4">
        <v>14</v>
      </c>
      <c r="K4">
        <v>30</v>
      </c>
    </row>
    <row r="5" spans="2:11" x14ac:dyDescent="0.3">
      <c r="B5" s="3" t="s">
        <v>9</v>
      </c>
      <c r="C5" s="3">
        <v>1932</v>
      </c>
      <c r="D5" s="3" t="s">
        <v>65</v>
      </c>
      <c r="E5" s="3" t="s">
        <v>11</v>
      </c>
      <c r="F5" s="3" t="s">
        <v>88</v>
      </c>
      <c r="H5" s="2" t="s">
        <v>11</v>
      </c>
      <c r="I5">
        <v>6</v>
      </c>
      <c r="J5">
        <v>6</v>
      </c>
      <c r="K5">
        <v>12</v>
      </c>
    </row>
    <row r="6" spans="2:11" x14ac:dyDescent="0.3">
      <c r="B6" s="3" t="s">
        <v>12</v>
      </c>
      <c r="C6" s="3">
        <v>1936</v>
      </c>
      <c r="D6" s="3" t="s">
        <v>66</v>
      </c>
      <c r="E6" s="3" t="s">
        <v>6</v>
      </c>
      <c r="F6" s="3" t="s">
        <v>88</v>
      </c>
      <c r="H6" s="2" t="s">
        <v>35</v>
      </c>
      <c r="I6">
        <v>3</v>
      </c>
      <c r="J6">
        <v>3</v>
      </c>
      <c r="K6">
        <v>6</v>
      </c>
    </row>
    <row r="7" spans="2:11" x14ac:dyDescent="0.3">
      <c r="B7" s="3" t="s">
        <v>14</v>
      </c>
      <c r="C7" s="3">
        <v>1948</v>
      </c>
      <c r="D7" s="3" t="s">
        <v>64</v>
      </c>
      <c r="E7" s="3" t="s">
        <v>6</v>
      </c>
      <c r="F7" s="3" t="s">
        <v>88</v>
      </c>
      <c r="H7" s="2" t="s">
        <v>30</v>
      </c>
      <c r="I7">
        <v>2</v>
      </c>
      <c r="K7">
        <v>2</v>
      </c>
    </row>
    <row r="8" spans="2:11" x14ac:dyDescent="0.3">
      <c r="B8" s="3" t="s">
        <v>67</v>
      </c>
      <c r="C8" s="3">
        <v>1952</v>
      </c>
      <c r="D8" s="3" t="s">
        <v>68</v>
      </c>
      <c r="E8" s="3" t="s">
        <v>6</v>
      </c>
      <c r="F8" s="3" t="s">
        <v>88</v>
      </c>
      <c r="H8" s="2" t="s">
        <v>59</v>
      </c>
      <c r="I8">
        <v>1</v>
      </c>
      <c r="K8">
        <v>1</v>
      </c>
    </row>
    <row r="9" spans="2:11" x14ac:dyDescent="0.3">
      <c r="B9" s="3" t="s">
        <v>16</v>
      </c>
      <c r="C9" s="3">
        <v>1956</v>
      </c>
      <c r="D9" s="3" t="s">
        <v>69</v>
      </c>
      <c r="E9" s="3" t="s">
        <v>6</v>
      </c>
      <c r="F9" s="3" t="s">
        <v>88</v>
      </c>
      <c r="H9" s="2" t="s">
        <v>61</v>
      </c>
      <c r="I9">
        <v>28</v>
      </c>
      <c r="J9">
        <v>23</v>
      </c>
      <c r="K9">
        <v>51</v>
      </c>
    </row>
    <row r="10" spans="2:11" x14ac:dyDescent="0.3">
      <c r="B10" s="3" t="s">
        <v>18</v>
      </c>
      <c r="C10" s="3">
        <v>1960</v>
      </c>
      <c r="D10" s="3" t="s">
        <v>70</v>
      </c>
      <c r="E10" s="3" t="s">
        <v>11</v>
      </c>
      <c r="F10" s="3" t="s">
        <v>88</v>
      </c>
    </row>
    <row r="11" spans="2:11" x14ac:dyDescent="0.3">
      <c r="B11" s="3" t="s">
        <v>19</v>
      </c>
      <c r="C11" s="3">
        <v>1964</v>
      </c>
      <c r="D11" s="3" t="s">
        <v>71</v>
      </c>
      <c r="E11" s="3" t="s">
        <v>6</v>
      </c>
      <c r="F11" s="3" t="s">
        <v>88</v>
      </c>
    </row>
    <row r="12" spans="2:11" x14ac:dyDescent="0.3">
      <c r="B12" s="3" t="s">
        <v>21</v>
      </c>
      <c r="C12" s="3">
        <v>1968</v>
      </c>
      <c r="D12" s="3" t="s">
        <v>72</v>
      </c>
      <c r="E12" s="3" t="s">
        <v>6</v>
      </c>
      <c r="F12" s="3" t="s">
        <v>88</v>
      </c>
    </row>
    <row r="13" spans="2:11" x14ac:dyDescent="0.3">
      <c r="B13" s="3" t="s">
        <v>23</v>
      </c>
      <c r="C13" s="3">
        <v>1972</v>
      </c>
      <c r="D13" s="3" t="s">
        <v>73</v>
      </c>
      <c r="E13" s="3" t="s">
        <v>35</v>
      </c>
      <c r="F13" s="3" t="s">
        <v>88</v>
      </c>
    </row>
    <row r="14" spans="2:11" x14ac:dyDescent="0.3">
      <c r="B14" s="3" t="s">
        <v>74</v>
      </c>
      <c r="C14" s="3">
        <v>1976</v>
      </c>
      <c r="D14" s="3" t="s">
        <v>71</v>
      </c>
      <c r="E14" s="3" t="s">
        <v>6</v>
      </c>
      <c r="F14" s="3" t="s">
        <v>88</v>
      </c>
    </row>
    <row r="15" spans="2:11" x14ac:dyDescent="0.3">
      <c r="B15" s="3" t="s">
        <v>75</v>
      </c>
      <c r="C15" s="3">
        <v>1980</v>
      </c>
      <c r="D15" s="3" t="s">
        <v>65</v>
      </c>
      <c r="E15" s="3" t="s">
        <v>11</v>
      </c>
      <c r="F15" s="3" t="s">
        <v>88</v>
      </c>
    </row>
    <row r="16" spans="2:11" x14ac:dyDescent="0.3">
      <c r="B16" s="3" t="s">
        <v>25</v>
      </c>
      <c r="C16" s="3">
        <v>1984</v>
      </c>
      <c r="D16" s="3" t="s">
        <v>76</v>
      </c>
      <c r="E16" s="3" t="s">
        <v>6</v>
      </c>
      <c r="F16" s="3" t="s">
        <v>88</v>
      </c>
    </row>
    <row r="17" spans="2:6" x14ac:dyDescent="0.3">
      <c r="B17" s="3" t="s">
        <v>26</v>
      </c>
      <c r="C17" s="3">
        <v>1988</v>
      </c>
      <c r="D17" s="3" t="s">
        <v>77</v>
      </c>
      <c r="E17" s="3" t="s">
        <v>11</v>
      </c>
      <c r="F17" s="3" t="s">
        <v>88</v>
      </c>
    </row>
    <row r="18" spans="2:6" x14ac:dyDescent="0.3">
      <c r="B18" s="3" t="s">
        <v>28</v>
      </c>
      <c r="C18" s="3">
        <v>1992</v>
      </c>
      <c r="D18" s="3" t="s">
        <v>78</v>
      </c>
      <c r="E18" s="3" t="s">
        <v>6</v>
      </c>
      <c r="F18" s="3" t="s">
        <v>88</v>
      </c>
    </row>
    <row r="19" spans="2:6" x14ac:dyDescent="0.3">
      <c r="B19" s="3" t="s">
        <v>31</v>
      </c>
      <c r="C19" s="3">
        <v>1994</v>
      </c>
      <c r="D19" s="3" t="s">
        <v>79</v>
      </c>
      <c r="E19" s="3" t="s">
        <v>6</v>
      </c>
      <c r="F19" s="3" t="s">
        <v>88</v>
      </c>
    </row>
    <row r="20" spans="2:6" x14ac:dyDescent="0.3">
      <c r="B20" s="3" t="s">
        <v>33</v>
      </c>
      <c r="C20" s="3">
        <v>1998</v>
      </c>
      <c r="D20" s="3" t="s">
        <v>80</v>
      </c>
      <c r="E20" s="3" t="s">
        <v>35</v>
      </c>
      <c r="F20" s="3" t="s">
        <v>88</v>
      </c>
    </row>
    <row r="21" spans="2:6" x14ac:dyDescent="0.3">
      <c r="B21" s="3" t="s">
        <v>36</v>
      </c>
      <c r="C21" s="3">
        <v>2002</v>
      </c>
      <c r="D21" s="3" t="s">
        <v>81</v>
      </c>
      <c r="E21" s="3" t="s">
        <v>11</v>
      </c>
      <c r="F21" s="3" t="s">
        <v>88</v>
      </c>
    </row>
    <row r="22" spans="2:6" x14ac:dyDescent="0.3">
      <c r="B22" s="3" t="s">
        <v>38</v>
      </c>
      <c r="C22" s="3">
        <v>2006</v>
      </c>
      <c r="D22" s="3" t="s">
        <v>82</v>
      </c>
      <c r="E22" s="3" t="s">
        <v>6</v>
      </c>
      <c r="F22" s="3" t="s">
        <v>88</v>
      </c>
    </row>
    <row r="23" spans="2:6" x14ac:dyDescent="0.3">
      <c r="B23" s="3" t="s">
        <v>40</v>
      </c>
      <c r="C23" s="3">
        <v>2010</v>
      </c>
      <c r="D23" s="3" t="s">
        <v>83</v>
      </c>
      <c r="E23" s="3" t="s">
        <v>11</v>
      </c>
      <c r="F23" s="3" t="s">
        <v>88</v>
      </c>
    </row>
    <row r="24" spans="2:6" x14ac:dyDescent="0.3">
      <c r="B24" s="3" t="s">
        <v>42</v>
      </c>
      <c r="C24" s="3">
        <v>2014</v>
      </c>
      <c r="D24" s="3" t="s">
        <v>84</v>
      </c>
      <c r="E24" s="3" t="s">
        <v>6</v>
      </c>
      <c r="F24" s="3" t="s">
        <v>88</v>
      </c>
    </row>
    <row r="25" spans="2:6" x14ac:dyDescent="0.3">
      <c r="B25" s="3" t="s">
        <v>44</v>
      </c>
      <c r="C25" s="3">
        <v>2018</v>
      </c>
      <c r="D25" s="3" t="s">
        <v>85</v>
      </c>
      <c r="E25" s="3" t="s">
        <v>35</v>
      </c>
      <c r="F25" s="3" t="s">
        <v>88</v>
      </c>
    </row>
    <row r="26" spans="2:6" x14ac:dyDescent="0.3">
      <c r="B26" s="3" t="s">
        <v>4</v>
      </c>
      <c r="C26" s="3">
        <v>1896</v>
      </c>
      <c r="D26" s="3" t="s">
        <v>5</v>
      </c>
      <c r="E26" s="3" t="s">
        <v>6</v>
      </c>
      <c r="F26" s="3" t="s">
        <v>89</v>
      </c>
    </row>
    <row r="27" spans="2:6" x14ac:dyDescent="0.3">
      <c r="B27" s="3" t="s">
        <v>7</v>
      </c>
      <c r="C27" s="3">
        <v>1900</v>
      </c>
      <c r="D27" s="3" t="s">
        <v>8</v>
      </c>
      <c r="E27" s="3" t="s">
        <v>6</v>
      </c>
      <c r="F27" s="3" t="s">
        <v>89</v>
      </c>
    </row>
    <row r="28" spans="2:6" x14ac:dyDescent="0.3">
      <c r="B28" s="3" t="s">
        <v>9</v>
      </c>
      <c r="C28" s="3">
        <v>1904</v>
      </c>
      <c r="D28" s="3" t="s">
        <v>10</v>
      </c>
      <c r="E28" s="3" t="s">
        <v>11</v>
      </c>
      <c r="F28" s="3" t="s">
        <v>89</v>
      </c>
    </row>
    <row r="29" spans="2:6" x14ac:dyDescent="0.3">
      <c r="B29" s="3" t="s">
        <v>12</v>
      </c>
      <c r="C29" s="3">
        <v>1908</v>
      </c>
      <c r="D29" s="3" t="s">
        <v>13</v>
      </c>
      <c r="E29" s="3" t="s">
        <v>6</v>
      </c>
      <c r="F29" s="3" t="s">
        <v>89</v>
      </c>
    </row>
    <row r="30" spans="2:6" x14ac:dyDescent="0.3">
      <c r="B30" s="3" t="s">
        <v>14</v>
      </c>
      <c r="C30" s="3">
        <v>1912</v>
      </c>
      <c r="D30" s="3" t="s">
        <v>15</v>
      </c>
      <c r="E30" s="3" t="s">
        <v>6</v>
      </c>
      <c r="F30" s="3" t="s">
        <v>89</v>
      </c>
    </row>
    <row r="31" spans="2:6" x14ac:dyDescent="0.3">
      <c r="B31" s="3" t="s">
        <v>16</v>
      </c>
      <c r="C31" s="3">
        <v>1920</v>
      </c>
      <c r="D31" s="3" t="s">
        <v>17</v>
      </c>
      <c r="E31" s="3" t="s">
        <v>6</v>
      </c>
      <c r="F31" s="3" t="s">
        <v>89</v>
      </c>
    </row>
    <row r="32" spans="2:6" x14ac:dyDescent="0.3">
      <c r="B32" s="3" t="s">
        <v>18</v>
      </c>
      <c r="C32" s="3">
        <v>1924</v>
      </c>
      <c r="D32" s="3" t="s">
        <v>8</v>
      </c>
      <c r="E32" s="3" t="s">
        <v>6</v>
      </c>
      <c r="F32" s="3" t="s">
        <v>89</v>
      </c>
    </row>
    <row r="33" spans="2:6" x14ac:dyDescent="0.3">
      <c r="B33" s="3" t="s">
        <v>19</v>
      </c>
      <c r="C33" s="3">
        <v>1928</v>
      </c>
      <c r="D33" s="3" t="s">
        <v>20</v>
      </c>
      <c r="E33" s="3" t="s">
        <v>6</v>
      </c>
      <c r="F33" s="3" t="s">
        <v>89</v>
      </c>
    </row>
    <row r="34" spans="2:6" x14ac:dyDescent="0.3">
      <c r="B34" s="3" t="s">
        <v>21</v>
      </c>
      <c r="C34" s="3">
        <v>1932</v>
      </c>
      <c r="D34" s="3" t="s">
        <v>22</v>
      </c>
      <c r="E34" s="3" t="s">
        <v>11</v>
      </c>
      <c r="F34" s="3" t="s">
        <v>89</v>
      </c>
    </row>
    <row r="35" spans="2:6" x14ac:dyDescent="0.3">
      <c r="B35" s="3" t="s">
        <v>23</v>
      </c>
      <c r="C35" s="3">
        <v>1936</v>
      </c>
      <c r="D35" s="3" t="s">
        <v>24</v>
      </c>
      <c r="E35" s="3" t="s">
        <v>6</v>
      </c>
      <c r="F35" s="3" t="s">
        <v>89</v>
      </c>
    </row>
    <row r="36" spans="2:6" x14ac:dyDescent="0.3">
      <c r="B36" s="3" t="s">
        <v>25</v>
      </c>
      <c r="C36" s="3">
        <v>1948</v>
      </c>
      <c r="D36" s="3" t="s">
        <v>13</v>
      </c>
      <c r="E36" s="3" t="s">
        <v>6</v>
      </c>
      <c r="F36" s="3" t="s">
        <v>89</v>
      </c>
    </row>
    <row r="37" spans="2:6" x14ac:dyDescent="0.3">
      <c r="B37" s="3" t="s">
        <v>26</v>
      </c>
      <c r="C37" s="3">
        <v>1952</v>
      </c>
      <c r="D37" s="3" t="s">
        <v>27</v>
      </c>
      <c r="E37" s="3" t="s">
        <v>6</v>
      </c>
      <c r="F37" s="3" t="s">
        <v>89</v>
      </c>
    </row>
    <row r="38" spans="2:6" x14ac:dyDescent="0.3">
      <c r="B38" s="3" t="s">
        <v>28</v>
      </c>
      <c r="C38" s="3">
        <v>1956</v>
      </c>
      <c r="D38" s="3" t="s">
        <v>29</v>
      </c>
      <c r="E38" s="3" t="s">
        <v>30</v>
      </c>
      <c r="F38" s="3" t="s">
        <v>89</v>
      </c>
    </row>
    <row r="39" spans="2:6" x14ac:dyDescent="0.3">
      <c r="B39" s="3" t="s">
        <v>31</v>
      </c>
      <c r="C39" s="3">
        <v>1960</v>
      </c>
      <c r="D39" s="3" t="s">
        <v>32</v>
      </c>
      <c r="E39" s="3" t="s">
        <v>6</v>
      </c>
      <c r="F39" s="3" t="s">
        <v>89</v>
      </c>
    </row>
    <row r="40" spans="2:6" x14ac:dyDescent="0.3">
      <c r="B40" s="3" t="s">
        <v>33</v>
      </c>
      <c r="C40" s="3">
        <v>1964</v>
      </c>
      <c r="D40" s="3" t="s">
        <v>34</v>
      </c>
      <c r="E40" s="3" t="s">
        <v>35</v>
      </c>
      <c r="F40" s="3" t="s">
        <v>89</v>
      </c>
    </row>
    <row r="41" spans="2:6" x14ac:dyDescent="0.3">
      <c r="B41" s="3" t="s">
        <v>36</v>
      </c>
      <c r="C41" s="3">
        <v>1968</v>
      </c>
      <c r="D41" s="3" t="s">
        <v>37</v>
      </c>
      <c r="E41" s="3" t="s">
        <v>11</v>
      </c>
      <c r="F41" s="3" t="s">
        <v>89</v>
      </c>
    </row>
    <row r="42" spans="2:6" x14ac:dyDescent="0.3">
      <c r="B42" s="3" t="s">
        <v>38</v>
      </c>
      <c r="C42" s="3">
        <v>1972</v>
      </c>
      <c r="D42" s="3" t="s">
        <v>39</v>
      </c>
      <c r="E42" s="3" t="s">
        <v>6</v>
      </c>
      <c r="F42" s="3" t="s">
        <v>89</v>
      </c>
    </row>
    <row r="43" spans="2:6" x14ac:dyDescent="0.3">
      <c r="B43" s="3" t="s">
        <v>40</v>
      </c>
      <c r="C43" s="3">
        <v>1976</v>
      </c>
      <c r="D43" s="3" t="s">
        <v>41</v>
      </c>
      <c r="E43" s="3" t="s">
        <v>11</v>
      </c>
      <c r="F43" s="3" t="s">
        <v>89</v>
      </c>
    </row>
    <row r="44" spans="2:6" x14ac:dyDescent="0.3">
      <c r="B44" s="3" t="s">
        <v>42</v>
      </c>
      <c r="C44" s="3">
        <v>1980</v>
      </c>
      <c r="D44" s="3" t="s">
        <v>43</v>
      </c>
      <c r="E44" s="3" t="s">
        <v>6</v>
      </c>
      <c r="F44" s="3" t="s">
        <v>89</v>
      </c>
    </row>
    <row r="45" spans="2:6" x14ac:dyDescent="0.3">
      <c r="B45" s="3" t="s">
        <v>44</v>
      </c>
      <c r="C45" s="3">
        <v>1984</v>
      </c>
      <c r="D45" s="3" t="s">
        <v>22</v>
      </c>
      <c r="E45" s="3" t="s">
        <v>11</v>
      </c>
      <c r="F45" s="3" t="s">
        <v>89</v>
      </c>
    </row>
    <row r="46" spans="2:6" x14ac:dyDescent="0.3">
      <c r="B46" s="3" t="s">
        <v>45</v>
      </c>
      <c r="C46" s="3">
        <v>1988</v>
      </c>
      <c r="D46" s="3" t="s">
        <v>46</v>
      </c>
      <c r="E46" s="3" t="s">
        <v>35</v>
      </c>
      <c r="F46" s="3" t="s">
        <v>89</v>
      </c>
    </row>
    <row r="47" spans="2:6" x14ac:dyDescent="0.3">
      <c r="B47" s="3" t="s">
        <v>47</v>
      </c>
      <c r="C47" s="3">
        <v>1992</v>
      </c>
      <c r="D47" s="3" t="s">
        <v>48</v>
      </c>
      <c r="E47" s="3" t="s">
        <v>6</v>
      </c>
      <c r="F47" s="3" t="s">
        <v>89</v>
      </c>
    </row>
    <row r="48" spans="2:6" x14ac:dyDescent="0.3">
      <c r="B48" s="3" t="s">
        <v>49</v>
      </c>
      <c r="C48" s="3">
        <v>1996</v>
      </c>
      <c r="D48" s="3" t="s">
        <v>50</v>
      </c>
      <c r="E48" s="3" t="s">
        <v>11</v>
      </c>
      <c r="F48" s="3" t="s">
        <v>89</v>
      </c>
    </row>
    <row r="49" spans="2:6" x14ac:dyDescent="0.3">
      <c r="B49" s="3" t="s">
        <v>51</v>
      </c>
      <c r="C49" s="3">
        <v>2000</v>
      </c>
      <c r="D49" s="3" t="s">
        <v>52</v>
      </c>
      <c r="E49" s="3" t="s">
        <v>30</v>
      </c>
      <c r="F49" s="3" t="s">
        <v>89</v>
      </c>
    </row>
    <row r="50" spans="2:6" x14ac:dyDescent="0.3">
      <c r="B50" s="3" t="s">
        <v>53</v>
      </c>
      <c r="C50" s="3">
        <v>2004</v>
      </c>
      <c r="D50" s="3" t="s">
        <v>5</v>
      </c>
      <c r="E50" s="3" t="s">
        <v>6</v>
      </c>
      <c r="F50" s="3" t="s">
        <v>89</v>
      </c>
    </row>
    <row r="51" spans="2:6" x14ac:dyDescent="0.3">
      <c r="B51" s="3" t="s">
        <v>54</v>
      </c>
      <c r="C51" s="3">
        <v>2008</v>
      </c>
      <c r="D51" s="3" t="s">
        <v>55</v>
      </c>
      <c r="E51" s="3" t="s">
        <v>35</v>
      </c>
      <c r="F51" s="3" t="s">
        <v>89</v>
      </c>
    </row>
    <row r="52" spans="2:6" x14ac:dyDescent="0.3">
      <c r="B52" s="3" t="s">
        <v>56</v>
      </c>
      <c r="C52" s="3">
        <v>2012</v>
      </c>
      <c r="D52" s="3" t="s">
        <v>13</v>
      </c>
      <c r="E52" s="3" t="s">
        <v>6</v>
      </c>
      <c r="F52" s="3" t="s">
        <v>89</v>
      </c>
    </row>
    <row r="53" spans="2:6" x14ac:dyDescent="0.3">
      <c r="B53" s="3" t="s">
        <v>57</v>
      </c>
      <c r="C53" s="3">
        <v>2016</v>
      </c>
      <c r="D53" s="3" t="s">
        <v>58</v>
      </c>
      <c r="E53" s="3" t="s">
        <v>59</v>
      </c>
      <c r="F53" s="3" t="s">
        <v>89</v>
      </c>
    </row>
  </sheetData>
  <sheetProtection algorithmName="SHA-512" hashValue="VYnI/Hc3VHC7HtycrY+fRHRvs/YjJn9gWd9fuPUB5mQnaVWMg0CjHbwJwLwVIrcaGuAHtKsPnKrloGevuzEVeA==" saltValue="fMAFtqYmNZNU71wSzbix9A==" spinCount="100000" sheet="1" objects="1" scenarios="1" selectLockedCells="1" selectUnlockedCells="1"/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3D53-D093-48E4-88DA-951DF05C7CB2}">
  <dimension ref="B2:C14"/>
  <sheetViews>
    <sheetView zoomScale="145" zoomScaleNormal="145" workbookViewId="0">
      <selection activeCell="V23" sqref="V23"/>
    </sheetView>
  </sheetViews>
  <sheetFormatPr defaultRowHeight="14.4" x14ac:dyDescent="0.3"/>
  <cols>
    <col min="1" max="1" width="2.88671875" customWidth="1"/>
    <col min="2" max="2" width="9.109375" style="3"/>
    <col min="3" max="3" width="14.88671875" style="3" customWidth="1"/>
    <col min="4" max="4" width="2.88671875" customWidth="1"/>
  </cols>
  <sheetData>
    <row r="2" spans="2:3" x14ac:dyDescent="0.3">
      <c r="B2" s="3" t="s">
        <v>92</v>
      </c>
      <c r="C2" s="3" t="s">
        <v>93</v>
      </c>
    </row>
    <row r="3" spans="2:3" x14ac:dyDescent="0.3">
      <c r="B3" s="3" t="s">
        <v>94</v>
      </c>
      <c r="C3" s="3">
        <v>69</v>
      </c>
    </row>
    <row r="4" spans="2:3" x14ac:dyDescent="0.3">
      <c r="B4" s="3" t="s">
        <v>95</v>
      </c>
      <c r="C4" s="3">
        <v>73</v>
      </c>
    </row>
    <row r="5" spans="2:3" x14ac:dyDescent="0.3">
      <c r="B5" s="3" t="s">
        <v>96</v>
      </c>
      <c r="C5" s="3">
        <v>78</v>
      </c>
    </row>
    <row r="6" spans="2:3" x14ac:dyDescent="0.3">
      <c r="B6" s="3" t="s">
        <v>97</v>
      </c>
      <c r="C6" s="3">
        <v>86</v>
      </c>
    </row>
    <row r="7" spans="2:3" x14ac:dyDescent="0.3">
      <c r="B7" s="3" t="s">
        <v>98</v>
      </c>
      <c r="C7" s="3">
        <v>95</v>
      </c>
    </row>
    <row r="8" spans="2:3" x14ac:dyDescent="0.3">
      <c r="B8" s="3" t="s">
        <v>99</v>
      </c>
      <c r="C8" s="3">
        <v>103</v>
      </c>
    </row>
    <row r="9" spans="2:3" x14ac:dyDescent="0.3">
      <c r="B9" s="3" t="s">
        <v>100</v>
      </c>
      <c r="C9" s="3">
        <v>105</v>
      </c>
    </row>
    <row r="10" spans="2:3" x14ac:dyDescent="0.3">
      <c r="B10" s="3" t="s">
        <v>101</v>
      </c>
      <c r="C10" s="3">
        <v>103</v>
      </c>
    </row>
    <row r="11" spans="2:3" x14ac:dyDescent="0.3">
      <c r="B11" s="3" t="s">
        <v>102</v>
      </c>
      <c r="C11" s="3">
        <v>100</v>
      </c>
    </row>
    <row r="12" spans="2:3" x14ac:dyDescent="0.3">
      <c r="B12" s="3" t="s">
        <v>103</v>
      </c>
      <c r="C12" s="3">
        <v>89</v>
      </c>
    </row>
    <row r="13" spans="2:3" x14ac:dyDescent="0.3">
      <c r="B13" s="3" t="s">
        <v>104</v>
      </c>
      <c r="C13" s="3">
        <v>78</v>
      </c>
    </row>
    <row r="14" spans="2:3" x14ac:dyDescent="0.3">
      <c r="B14" s="3" t="s">
        <v>105</v>
      </c>
      <c r="C14" s="3">
        <v>68</v>
      </c>
    </row>
  </sheetData>
  <sheetProtection algorithmName="SHA-512" hashValue="aWSM8j5zXnvBlS80puDT2L3p2qDFf8a279AiKjOFsrxe3MynUokpGQexcGIpUiY1d0ANF8bcWEDXCMoiMSgNAQ==" saltValue="RtCFm87TLhigI3V2HF5YOA==" spinCount="100000" sheet="1" objects="1" scenarios="1" selectLockedCells="1" selectUnlockedCells="1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267B-517A-4520-BF63-0BB3186D595F}">
  <dimension ref="B2:G26"/>
  <sheetViews>
    <sheetView zoomScale="115" zoomScaleNormal="115" workbookViewId="0">
      <selection activeCell="V23" sqref="V23"/>
    </sheetView>
  </sheetViews>
  <sheetFormatPr defaultRowHeight="14.4" x14ac:dyDescent="0.3"/>
  <cols>
    <col min="1" max="1" width="3.109375" customWidth="1"/>
    <col min="2" max="2" width="8.6640625" style="3" bestFit="1" customWidth="1"/>
    <col min="3" max="3" width="15" style="3" bestFit="1" customWidth="1"/>
    <col min="4" max="4" width="9.6640625" style="3" bestFit="1" customWidth="1"/>
    <col min="5" max="5" width="3.109375" style="3" customWidth="1"/>
    <col min="6" max="6" width="12.5546875" style="3" bestFit="1" customWidth="1"/>
    <col min="7" max="7" width="17.21875" style="3" bestFit="1" customWidth="1"/>
  </cols>
  <sheetData>
    <row r="2" spans="2:7" x14ac:dyDescent="0.3">
      <c r="B2" s="3" t="s">
        <v>106</v>
      </c>
      <c r="C2" s="3" t="s">
        <v>107</v>
      </c>
      <c r="D2" s="3" t="s">
        <v>108</v>
      </c>
      <c r="F2" s="5" t="s">
        <v>60</v>
      </c>
      <c r="G2" s="3" t="s">
        <v>110</v>
      </c>
    </row>
    <row r="3" spans="2:7" x14ac:dyDescent="0.3">
      <c r="B3" s="3">
        <v>30</v>
      </c>
      <c r="C3" s="4">
        <v>5500</v>
      </c>
      <c r="D3" s="4">
        <v>5500</v>
      </c>
      <c r="F3" s="3">
        <v>30</v>
      </c>
      <c r="G3" s="3">
        <v>5500</v>
      </c>
    </row>
    <row r="4" spans="2:7" x14ac:dyDescent="0.3">
      <c r="B4" s="3">
        <v>31</v>
      </c>
      <c r="C4" s="4">
        <v>5500</v>
      </c>
      <c r="D4" s="4">
        <f>D3+Table5[[#This Row],[Investment]]</f>
        <v>11000</v>
      </c>
      <c r="F4" s="3">
        <v>31</v>
      </c>
      <c r="G4" s="3">
        <v>5500</v>
      </c>
    </row>
    <row r="5" spans="2:7" x14ac:dyDescent="0.3">
      <c r="B5" s="3">
        <v>32</v>
      </c>
      <c r="C5" s="4">
        <v>5500</v>
      </c>
      <c r="D5" s="4">
        <f>D4+Table5[[#This Row],[Investment]]</f>
        <v>16500</v>
      </c>
      <c r="F5" s="3">
        <v>32</v>
      </c>
      <c r="G5" s="3">
        <v>5500</v>
      </c>
    </row>
    <row r="6" spans="2:7" x14ac:dyDescent="0.3">
      <c r="B6" s="3">
        <v>33</v>
      </c>
      <c r="C6" s="4">
        <v>5500</v>
      </c>
      <c r="D6" s="4">
        <f>D5+Table5[[#This Row],[Investment]]</f>
        <v>22000</v>
      </c>
      <c r="F6" s="3">
        <v>33</v>
      </c>
      <c r="G6" s="3">
        <v>5500</v>
      </c>
    </row>
    <row r="7" spans="2:7" x14ac:dyDescent="0.3">
      <c r="B7" s="3">
        <v>34</v>
      </c>
      <c r="C7" s="4">
        <v>5500</v>
      </c>
      <c r="D7" s="4">
        <f>D6+Table5[[#This Row],[Investment]]</f>
        <v>27500</v>
      </c>
      <c r="F7" s="3">
        <v>34</v>
      </c>
      <c r="G7" s="3">
        <v>5500</v>
      </c>
    </row>
    <row r="8" spans="2:7" x14ac:dyDescent="0.3">
      <c r="B8" s="3">
        <v>35</v>
      </c>
      <c r="C8" s="4">
        <v>5500</v>
      </c>
      <c r="D8" s="4">
        <f>D7+Table5[[#This Row],[Investment]]</f>
        <v>33000</v>
      </c>
      <c r="F8" s="3">
        <v>35</v>
      </c>
      <c r="G8" s="3">
        <v>5500</v>
      </c>
    </row>
    <row r="9" spans="2:7" x14ac:dyDescent="0.3">
      <c r="B9" s="3">
        <v>36</v>
      </c>
      <c r="C9" s="4">
        <v>5500</v>
      </c>
      <c r="D9" s="4">
        <f>D8+Table5[[#This Row],[Investment]]</f>
        <v>38500</v>
      </c>
      <c r="F9" s="3">
        <v>36</v>
      </c>
      <c r="G9" s="3">
        <v>5500</v>
      </c>
    </row>
    <row r="10" spans="2:7" x14ac:dyDescent="0.3">
      <c r="B10" s="3">
        <v>37</v>
      </c>
      <c r="C10" s="4">
        <v>5500</v>
      </c>
      <c r="D10" s="4">
        <f>D9+Table5[[#This Row],[Investment]]</f>
        <v>44000</v>
      </c>
      <c r="F10" s="3">
        <v>37</v>
      </c>
      <c r="G10" s="3">
        <v>5500</v>
      </c>
    </row>
    <row r="11" spans="2:7" x14ac:dyDescent="0.3">
      <c r="B11" s="3">
        <v>38</v>
      </c>
      <c r="C11" s="4">
        <v>5500</v>
      </c>
      <c r="D11" s="4">
        <f>D10+Table5[[#This Row],[Investment]]</f>
        <v>49500</v>
      </c>
      <c r="F11" s="3">
        <v>38</v>
      </c>
      <c r="G11" s="3">
        <v>5500</v>
      </c>
    </row>
    <row r="12" spans="2:7" x14ac:dyDescent="0.3">
      <c r="B12" s="3">
        <v>39</v>
      </c>
      <c r="C12" s="4">
        <v>5500</v>
      </c>
      <c r="D12" s="4">
        <f>D11+Table5[[#This Row],[Investment]]</f>
        <v>55000</v>
      </c>
      <c r="F12" s="3">
        <v>39</v>
      </c>
      <c r="G12" s="3">
        <v>5500</v>
      </c>
    </row>
    <row r="13" spans="2:7" x14ac:dyDescent="0.3">
      <c r="F13" s="3" t="s">
        <v>61</v>
      </c>
      <c r="G13" s="4">
        <v>55000</v>
      </c>
    </row>
    <row r="15" spans="2:7" x14ac:dyDescent="0.3">
      <c r="F15" s="5" t="s">
        <v>60</v>
      </c>
      <c r="G15" s="3" t="s">
        <v>109</v>
      </c>
    </row>
    <row r="16" spans="2:7" x14ac:dyDescent="0.3">
      <c r="F16" s="3">
        <v>30</v>
      </c>
      <c r="G16" s="3">
        <v>5500</v>
      </c>
    </row>
    <row r="17" spans="6:7" x14ac:dyDescent="0.3">
      <c r="F17" s="3">
        <v>31</v>
      </c>
      <c r="G17" s="3">
        <v>11000</v>
      </c>
    </row>
    <row r="18" spans="6:7" x14ac:dyDescent="0.3">
      <c r="F18" s="3">
        <v>32</v>
      </c>
      <c r="G18" s="3">
        <v>16500</v>
      </c>
    </row>
    <row r="19" spans="6:7" x14ac:dyDescent="0.3">
      <c r="F19" s="3">
        <v>33</v>
      </c>
      <c r="G19" s="3">
        <v>22000</v>
      </c>
    </row>
    <row r="20" spans="6:7" x14ac:dyDescent="0.3">
      <c r="F20" s="3">
        <v>34</v>
      </c>
      <c r="G20" s="3">
        <v>27500</v>
      </c>
    </row>
    <row r="21" spans="6:7" x14ac:dyDescent="0.3">
      <c r="F21" s="3">
        <v>35</v>
      </c>
      <c r="G21" s="3">
        <v>33000</v>
      </c>
    </row>
    <row r="22" spans="6:7" x14ac:dyDescent="0.3">
      <c r="F22" s="3">
        <v>36</v>
      </c>
      <c r="G22" s="3">
        <v>38500</v>
      </c>
    </row>
    <row r="23" spans="6:7" x14ac:dyDescent="0.3">
      <c r="F23" s="3">
        <v>37</v>
      </c>
      <c r="G23" s="3">
        <v>44000</v>
      </c>
    </row>
    <row r="24" spans="6:7" x14ac:dyDescent="0.3">
      <c r="F24" s="3">
        <v>38</v>
      </c>
      <c r="G24" s="3">
        <v>49500</v>
      </c>
    </row>
    <row r="25" spans="6:7" x14ac:dyDescent="0.3">
      <c r="F25" s="3">
        <v>39</v>
      </c>
      <c r="G25" s="3">
        <v>55000</v>
      </c>
    </row>
    <row r="26" spans="6:7" x14ac:dyDescent="0.3">
      <c r="F26" s="3" t="s">
        <v>61</v>
      </c>
      <c r="G26" s="3">
        <v>302500</v>
      </c>
    </row>
  </sheetData>
  <sheetProtection algorithmName="SHA-512" hashValue="o9AhDELT207KSZmIOs0/kBNQ89lvIa+8ze8zyW4UFiPT0xht/X4oYWcvVwl9r6LI0xPN3bTuavciTAOjVrljFA==" saltValue="ULy3DPNDLCGH8A/kE0TWpQ==" spinCount="100000" sheet="1" objects="1" scenarios="1" selectLockedCells="1" selectUnlockedCells="1"/>
  <pageMargins left="0.7" right="0.7" top="0.75" bottom="0.75" header="0.3" footer="0.3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943C-1212-42C3-8AD6-035C650C92F8}">
  <dimension ref="B2:F80"/>
  <sheetViews>
    <sheetView topLeftCell="A10" zoomScale="55" zoomScaleNormal="55" workbookViewId="0">
      <selection activeCell="V23" sqref="V23"/>
    </sheetView>
  </sheetViews>
  <sheetFormatPr defaultRowHeight="14.4" x14ac:dyDescent="0.3"/>
  <cols>
    <col min="2" max="2" width="18.21875" style="6" bestFit="1" customWidth="1"/>
    <col min="3" max="3" width="11.88671875" style="6" bestFit="1" customWidth="1"/>
    <col min="4" max="4" width="14.109375" style="6" bestFit="1" customWidth="1"/>
    <col min="5" max="5" width="11.6640625" style="6" customWidth="1"/>
    <col min="6" max="6" width="12.44140625" style="6" bestFit="1" customWidth="1"/>
    <col min="7" max="7" width="9.6640625" bestFit="1" customWidth="1"/>
    <col min="8" max="8" width="7.44140625" bestFit="1" customWidth="1"/>
    <col min="9" max="9" width="11.21875" bestFit="1" customWidth="1"/>
  </cols>
  <sheetData>
    <row r="2" spans="2:3" x14ac:dyDescent="0.3">
      <c r="B2" s="6" t="s">
        <v>92</v>
      </c>
      <c r="C2" s="6" t="s">
        <v>111</v>
      </c>
    </row>
    <row r="3" spans="2:3" x14ac:dyDescent="0.3">
      <c r="B3" s="6" t="s">
        <v>94</v>
      </c>
      <c r="C3" s="7">
        <v>482000</v>
      </c>
    </row>
    <row r="4" spans="2:3" x14ac:dyDescent="0.3">
      <c r="B4" s="6" t="s">
        <v>95</v>
      </c>
      <c r="C4" s="7">
        <v>421500</v>
      </c>
    </row>
    <row r="5" spans="2:3" x14ac:dyDescent="0.3">
      <c r="B5" s="6" t="s">
        <v>96</v>
      </c>
      <c r="C5" s="7">
        <v>513000</v>
      </c>
    </row>
    <row r="6" spans="2:3" x14ac:dyDescent="0.3">
      <c r="B6" s="6" t="s">
        <v>97</v>
      </c>
      <c r="C6" s="7">
        <v>544000</v>
      </c>
    </row>
    <row r="7" spans="2:3" x14ac:dyDescent="0.3">
      <c r="B7" s="6" t="s">
        <v>98</v>
      </c>
      <c r="C7" s="7">
        <v>602500</v>
      </c>
    </row>
    <row r="8" spans="2:3" x14ac:dyDescent="0.3">
      <c r="B8" s="6" t="s">
        <v>99</v>
      </c>
      <c r="C8" s="7">
        <v>678000</v>
      </c>
    </row>
    <row r="9" spans="2:3" x14ac:dyDescent="0.3">
      <c r="B9" s="6" t="s">
        <v>100</v>
      </c>
      <c r="C9" s="7">
        <v>721000</v>
      </c>
    </row>
    <row r="10" spans="2:3" x14ac:dyDescent="0.3">
      <c r="B10" s="6" t="s">
        <v>101</v>
      </c>
      <c r="C10" s="7">
        <v>704500</v>
      </c>
    </row>
    <row r="11" spans="2:3" x14ac:dyDescent="0.3">
      <c r="B11" s="6" t="s">
        <v>102</v>
      </c>
      <c r="C11" s="7">
        <v>596000</v>
      </c>
    </row>
    <row r="12" spans="2:3" x14ac:dyDescent="0.3">
      <c r="B12" s="6" t="s">
        <v>103</v>
      </c>
      <c r="C12" s="7">
        <v>634000</v>
      </c>
    </row>
    <row r="13" spans="2:3" x14ac:dyDescent="0.3">
      <c r="B13" s="6" t="s">
        <v>104</v>
      </c>
      <c r="C13" s="7">
        <v>815500</v>
      </c>
    </row>
    <row r="14" spans="2:3" x14ac:dyDescent="0.3">
      <c r="B14" s="6" t="s">
        <v>105</v>
      </c>
      <c r="C14" s="7">
        <v>942000</v>
      </c>
    </row>
    <row r="15" spans="2:3" x14ac:dyDescent="0.3">
      <c r="C15" s="7"/>
    </row>
    <row r="17" spans="2:6" x14ac:dyDescent="0.3">
      <c r="B17" s="6" t="s">
        <v>92</v>
      </c>
      <c r="C17" s="6" t="s">
        <v>112</v>
      </c>
      <c r="D17" s="6" t="s">
        <v>113</v>
      </c>
      <c r="E17" s="6" t="s">
        <v>114</v>
      </c>
      <c r="F17" s="6" t="s">
        <v>115</v>
      </c>
    </row>
    <row r="18" spans="2:6" x14ac:dyDescent="0.3">
      <c r="B18" s="6" t="s">
        <v>94</v>
      </c>
      <c r="C18" s="7">
        <v>52000</v>
      </c>
      <c r="D18" s="7">
        <v>95000</v>
      </c>
      <c r="E18" s="7">
        <v>138000</v>
      </c>
      <c r="F18" s="7">
        <v>197000</v>
      </c>
    </row>
    <row r="19" spans="2:6" x14ac:dyDescent="0.3">
      <c r="B19" s="6" t="s">
        <v>95</v>
      </c>
      <c r="C19" s="7">
        <v>48000</v>
      </c>
      <c r="D19" s="7">
        <v>82000</v>
      </c>
      <c r="E19" s="7">
        <v>121000</v>
      </c>
      <c r="F19" s="7">
        <v>170500</v>
      </c>
    </row>
    <row r="20" spans="2:6" x14ac:dyDescent="0.3">
      <c r="B20" s="6" t="s">
        <v>96</v>
      </c>
      <c r="C20" s="7">
        <v>60000</v>
      </c>
      <c r="D20" s="7">
        <v>105000</v>
      </c>
      <c r="E20" s="7">
        <v>142000</v>
      </c>
      <c r="F20" s="7">
        <v>206000</v>
      </c>
    </row>
    <row r="21" spans="2:6" x14ac:dyDescent="0.3">
      <c r="B21" s="6" t="s">
        <v>97</v>
      </c>
      <c r="C21" s="7">
        <v>64000</v>
      </c>
      <c r="D21" s="7">
        <v>112000</v>
      </c>
      <c r="E21" s="7">
        <v>153000</v>
      </c>
      <c r="F21" s="7">
        <v>215000</v>
      </c>
    </row>
    <row r="22" spans="2:6" x14ac:dyDescent="0.3">
      <c r="B22" s="6" t="s">
        <v>98</v>
      </c>
      <c r="C22" s="7">
        <v>72000</v>
      </c>
      <c r="D22" s="7">
        <v>125000</v>
      </c>
      <c r="E22" s="7">
        <v>168000</v>
      </c>
      <c r="F22" s="7">
        <v>237500</v>
      </c>
    </row>
    <row r="23" spans="2:6" x14ac:dyDescent="0.3">
      <c r="B23" s="6" t="s">
        <v>99</v>
      </c>
      <c r="C23" s="7">
        <v>81000</v>
      </c>
      <c r="D23" s="7">
        <v>139000</v>
      </c>
      <c r="E23" s="7">
        <v>189000</v>
      </c>
      <c r="F23" s="7">
        <v>269000</v>
      </c>
    </row>
    <row r="24" spans="2:6" x14ac:dyDescent="0.3">
      <c r="B24" s="6" t="s">
        <v>100</v>
      </c>
      <c r="C24" s="7">
        <v>89000</v>
      </c>
      <c r="D24" s="7">
        <v>151000</v>
      </c>
      <c r="E24" s="7">
        <v>201000</v>
      </c>
      <c r="F24" s="7">
        <v>280000</v>
      </c>
    </row>
    <row r="25" spans="2:6" x14ac:dyDescent="0.3">
      <c r="B25" s="6" t="s">
        <v>101</v>
      </c>
      <c r="C25" s="7">
        <v>86000</v>
      </c>
      <c r="D25" s="7">
        <v>147000</v>
      </c>
      <c r="E25" s="7">
        <v>198000</v>
      </c>
      <c r="F25" s="7">
        <v>273500</v>
      </c>
    </row>
    <row r="26" spans="2:6" x14ac:dyDescent="0.3">
      <c r="B26" s="6" t="s">
        <v>102</v>
      </c>
      <c r="C26" s="7">
        <v>71000</v>
      </c>
      <c r="D26" s="7">
        <v>123000</v>
      </c>
      <c r="E26" s="7">
        <v>162000</v>
      </c>
      <c r="F26" s="7">
        <v>240000</v>
      </c>
    </row>
    <row r="27" spans="2:6" x14ac:dyDescent="0.3">
      <c r="B27" s="6" t="s">
        <v>103</v>
      </c>
      <c r="C27" s="7">
        <v>75000</v>
      </c>
      <c r="D27" s="7">
        <v>131000</v>
      </c>
      <c r="E27" s="7">
        <v>175000</v>
      </c>
      <c r="F27" s="7">
        <v>253000</v>
      </c>
    </row>
    <row r="28" spans="2:6" x14ac:dyDescent="0.3">
      <c r="B28" s="6" t="s">
        <v>104</v>
      </c>
      <c r="C28" s="7">
        <v>98000</v>
      </c>
      <c r="D28" s="7">
        <v>188000</v>
      </c>
      <c r="E28" s="7">
        <v>240000</v>
      </c>
      <c r="F28" s="7">
        <v>289500</v>
      </c>
    </row>
    <row r="29" spans="2:6" x14ac:dyDescent="0.3">
      <c r="B29" s="6" t="s">
        <v>105</v>
      </c>
      <c r="C29" s="7">
        <v>115000</v>
      </c>
      <c r="D29" s="7">
        <v>205000</v>
      </c>
      <c r="E29" s="7">
        <v>275000</v>
      </c>
      <c r="F29" s="7">
        <v>347000</v>
      </c>
    </row>
    <row r="32" spans="2:6" x14ac:dyDescent="0.3">
      <c r="B32" t="s">
        <v>92</v>
      </c>
      <c r="C32" t="s">
        <v>1</v>
      </c>
      <c r="D32" t="s">
        <v>111</v>
      </c>
    </row>
    <row r="33" spans="2:4" x14ac:dyDescent="0.3">
      <c r="B33" t="s">
        <v>94</v>
      </c>
      <c r="C33" t="s">
        <v>112</v>
      </c>
      <c r="D33" s="8">
        <v>52000</v>
      </c>
    </row>
    <row r="34" spans="2:4" x14ac:dyDescent="0.3">
      <c r="B34" t="s">
        <v>95</v>
      </c>
      <c r="C34" t="s">
        <v>112</v>
      </c>
      <c r="D34" s="8">
        <v>48000</v>
      </c>
    </row>
    <row r="35" spans="2:4" x14ac:dyDescent="0.3">
      <c r="B35" t="s">
        <v>96</v>
      </c>
      <c r="C35" t="s">
        <v>112</v>
      </c>
      <c r="D35" s="8">
        <v>60000</v>
      </c>
    </row>
    <row r="36" spans="2:4" x14ac:dyDescent="0.3">
      <c r="B36" t="s">
        <v>97</v>
      </c>
      <c r="C36" t="s">
        <v>112</v>
      </c>
      <c r="D36" s="8">
        <v>64000</v>
      </c>
    </row>
    <row r="37" spans="2:4" x14ac:dyDescent="0.3">
      <c r="B37" t="s">
        <v>98</v>
      </c>
      <c r="C37" t="s">
        <v>112</v>
      </c>
      <c r="D37" s="8">
        <v>72000</v>
      </c>
    </row>
    <row r="38" spans="2:4" x14ac:dyDescent="0.3">
      <c r="B38" t="s">
        <v>99</v>
      </c>
      <c r="C38" t="s">
        <v>112</v>
      </c>
      <c r="D38" s="8">
        <v>81000</v>
      </c>
    </row>
    <row r="39" spans="2:4" x14ac:dyDescent="0.3">
      <c r="B39" t="s">
        <v>100</v>
      </c>
      <c r="C39" t="s">
        <v>112</v>
      </c>
      <c r="D39" s="8">
        <v>89000</v>
      </c>
    </row>
    <row r="40" spans="2:4" x14ac:dyDescent="0.3">
      <c r="B40" t="s">
        <v>101</v>
      </c>
      <c r="C40" t="s">
        <v>112</v>
      </c>
      <c r="D40" s="8">
        <v>86000</v>
      </c>
    </row>
    <row r="41" spans="2:4" x14ac:dyDescent="0.3">
      <c r="B41" t="s">
        <v>102</v>
      </c>
      <c r="C41" t="s">
        <v>112</v>
      </c>
      <c r="D41" s="8">
        <v>71000</v>
      </c>
    </row>
    <row r="42" spans="2:4" x14ac:dyDescent="0.3">
      <c r="B42" t="s">
        <v>103</v>
      </c>
      <c r="C42" t="s">
        <v>112</v>
      </c>
      <c r="D42" s="8">
        <v>75000</v>
      </c>
    </row>
    <row r="43" spans="2:4" x14ac:dyDescent="0.3">
      <c r="B43" t="s">
        <v>104</v>
      </c>
      <c r="C43" t="s">
        <v>112</v>
      </c>
      <c r="D43" s="8">
        <v>98000</v>
      </c>
    </row>
    <row r="44" spans="2:4" x14ac:dyDescent="0.3">
      <c r="B44" t="s">
        <v>105</v>
      </c>
      <c r="C44" t="s">
        <v>112</v>
      </c>
      <c r="D44" s="8">
        <v>115000</v>
      </c>
    </row>
    <row r="45" spans="2:4" x14ac:dyDescent="0.3">
      <c r="B45" t="s">
        <v>94</v>
      </c>
      <c r="C45" t="s">
        <v>113</v>
      </c>
      <c r="D45" s="8">
        <v>95000</v>
      </c>
    </row>
    <row r="46" spans="2:4" x14ac:dyDescent="0.3">
      <c r="B46" t="s">
        <v>95</v>
      </c>
      <c r="C46" t="s">
        <v>113</v>
      </c>
      <c r="D46" s="8">
        <v>82000</v>
      </c>
    </row>
    <row r="47" spans="2:4" x14ac:dyDescent="0.3">
      <c r="B47" t="s">
        <v>96</v>
      </c>
      <c r="C47" t="s">
        <v>113</v>
      </c>
      <c r="D47" s="8">
        <v>105000</v>
      </c>
    </row>
    <row r="48" spans="2:4" x14ac:dyDescent="0.3">
      <c r="B48" t="s">
        <v>97</v>
      </c>
      <c r="C48" t="s">
        <v>113</v>
      </c>
      <c r="D48" s="8">
        <v>112000</v>
      </c>
    </row>
    <row r="49" spans="2:4" x14ac:dyDescent="0.3">
      <c r="B49" t="s">
        <v>98</v>
      </c>
      <c r="C49" t="s">
        <v>113</v>
      </c>
      <c r="D49" s="8">
        <v>125000</v>
      </c>
    </row>
    <row r="50" spans="2:4" x14ac:dyDescent="0.3">
      <c r="B50" t="s">
        <v>99</v>
      </c>
      <c r="C50" t="s">
        <v>113</v>
      </c>
      <c r="D50" s="8">
        <v>139000</v>
      </c>
    </row>
    <row r="51" spans="2:4" x14ac:dyDescent="0.3">
      <c r="B51" t="s">
        <v>100</v>
      </c>
      <c r="C51" t="s">
        <v>113</v>
      </c>
      <c r="D51" s="8">
        <v>151000</v>
      </c>
    </row>
    <row r="52" spans="2:4" x14ac:dyDescent="0.3">
      <c r="B52" t="s">
        <v>101</v>
      </c>
      <c r="C52" t="s">
        <v>113</v>
      </c>
      <c r="D52" s="8">
        <v>147000</v>
      </c>
    </row>
    <row r="53" spans="2:4" x14ac:dyDescent="0.3">
      <c r="B53" t="s">
        <v>102</v>
      </c>
      <c r="C53" t="s">
        <v>113</v>
      </c>
      <c r="D53" s="8">
        <v>123000</v>
      </c>
    </row>
    <row r="54" spans="2:4" x14ac:dyDescent="0.3">
      <c r="B54" t="s">
        <v>103</v>
      </c>
      <c r="C54" t="s">
        <v>113</v>
      </c>
      <c r="D54" s="8">
        <v>131000</v>
      </c>
    </row>
    <row r="55" spans="2:4" x14ac:dyDescent="0.3">
      <c r="B55" t="s">
        <v>104</v>
      </c>
      <c r="C55" t="s">
        <v>113</v>
      </c>
      <c r="D55" s="8">
        <v>188000</v>
      </c>
    </row>
    <row r="56" spans="2:4" x14ac:dyDescent="0.3">
      <c r="B56" t="s">
        <v>105</v>
      </c>
      <c r="C56" t="s">
        <v>113</v>
      </c>
      <c r="D56" s="8">
        <v>205000</v>
      </c>
    </row>
    <row r="57" spans="2:4" x14ac:dyDescent="0.3">
      <c r="B57" t="s">
        <v>94</v>
      </c>
      <c r="C57" t="s">
        <v>114</v>
      </c>
      <c r="D57" s="8">
        <v>138000</v>
      </c>
    </row>
    <row r="58" spans="2:4" x14ac:dyDescent="0.3">
      <c r="B58" t="s">
        <v>95</v>
      </c>
      <c r="C58" t="s">
        <v>114</v>
      </c>
      <c r="D58" s="8">
        <v>121000</v>
      </c>
    </row>
    <row r="59" spans="2:4" x14ac:dyDescent="0.3">
      <c r="B59" t="s">
        <v>96</v>
      </c>
      <c r="C59" t="s">
        <v>114</v>
      </c>
      <c r="D59" s="8">
        <v>142000</v>
      </c>
    </row>
    <row r="60" spans="2:4" x14ac:dyDescent="0.3">
      <c r="B60" t="s">
        <v>97</v>
      </c>
      <c r="C60" t="s">
        <v>114</v>
      </c>
      <c r="D60" s="8">
        <v>153000</v>
      </c>
    </row>
    <row r="61" spans="2:4" x14ac:dyDescent="0.3">
      <c r="B61" t="s">
        <v>98</v>
      </c>
      <c r="C61" t="s">
        <v>114</v>
      </c>
      <c r="D61" s="8">
        <v>168000</v>
      </c>
    </row>
    <row r="62" spans="2:4" x14ac:dyDescent="0.3">
      <c r="B62" t="s">
        <v>99</v>
      </c>
      <c r="C62" t="s">
        <v>114</v>
      </c>
      <c r="D62" s="8">
        <v>189000</v>
      </c>
    </row>
    <row r="63" spans="2:4" x14ac:dyDescent="0.3">
      <c r="B63" t="s">
        <v>100</v>
      </c>
      <c r="C63" t="s">
        <v>114</v>
      </c>
      <c r="D63" s="8">
        <v>201000</v>
      </c>
    </row>
    <row r="64" spans="2:4" x14ac:dyDescent="0.3">
      <c r="B64" t="s">
        <v>101</v>
      </c>
      <c r="C64" t="s">
        <v>114</v>
      </c>
      <c r="D64" s="8">
        <v>198000</v>
      </c>
    </row>
    <row r="65" spans="2:4" x14ac:dyDescent="0.3">
      <c r="B65" t="s">
        <v>102</v>
      </c>
      <c r="C65" t="s">
        <v>114</v>
      </c>
      <c r="D65" s="8">
        <v>162000</v>
      </c>
    </row>
    <row r="66" spans="2:4" x14ac:dyDescent="0.3">
      <c r="B66" t="s">
        <v>103</v>
      </c>
      <c r="C66" t="s">
        <v>114</v>
      </c>
      <c r="D66" s="8">
        <v>175000</v>
      </c>
    </row>
    <row r="67" spans="2:4" x14ac:dyDescent="0.3">
      <c r="B67" t="s">
        <v>104</v>
      </c>
      <c r="C67" t="s">
        <v>114</v>
      </c>
      <c r="D67" s="8">
        <v>240000</v>
      </c>
    </row>
    <row r="68" spans="2:4" x14ac:dyDescent="0.3">
      <c r="B68" t="s">
        <v>105</v>
      </c>
      <c r="C68" t="s">
        <v>114</v>
      </c>
      <c r="D68" s="8">
        <v>275000</v>
      </c>
    </row>
    <row r="69" spans="2:4" x14ac:dyDescent="0.3">
      <c r="B69" t="s">
        <v>94</v>
      </c>
      <c r="C69" t="s">
        <v>115</v>
      </c>
      <c r="D69" s="8">
        <v>197000</v>
      </c>
    </row>
    <row r="70" spans="2:4" x14ac:dyDescent="0.3">
      <c r="B70" t="s">
        <v>95</v>
      </c>
      <c r="C70" t="s">
        <v>115</v>
      </c>
      <c r="D70" s="8">
        <v>170500</v>
      </c>
    </row>
    <row r="71" spans="2:4" x14ac:dyDescent="0.3">
      <c r="B71" t="s">
        <v>96</v>
      </c>
      <c r="C71" t="s">
        <v>115</v>
      </c>
      <c r="D71" s="8">
        <v>206000</v>
      </c>
    </row>
    <row r="72" spans="2:4" x14ac:dyDescent="0.3">
      <c r="B72" t="s">
        <v>97</v>
      </c>
      <c r="C72" t="s">
        <v>115</v>
      </c>
      <c r="D72" s="8">
        <v>215000</v>
      </c>
    </row>
    <row r="73" spans="2:4" x14ac:dyDescent="0.3">
      <c r="B73" t="s">
        <v>98</v>
      </c>
      <c r="C73" t="s">
        <v>115</v>
      </c>
      <c r="D73" s="8">
        <v>237500</v>
      </c>
    </row>
    <row r="74" spans="2:4" x14ac:dyDescent="0.3">
      <c r="B74" t="s">
        <v>99</v>
      </c>
      <c r="C74" t="s">
        <v>115</v>
      </c>
      <c r="D74" s="8">
        <v>269000</v>
      </c>
    </row>
    <row r="75" spans="2:4" x14ac:dyDescent="0.3">
      <c r="B75" t="s">
        <v>100</v>
      </c>
      <c r="C75" t="s">
        <v>115</v>
      </c>
      <c r="D75" s="8">
        <v>280000</v>
      </c>
    </row>
    <row r="76" spans="2:4" x14ac:dyDescent="0.3">
      <c r="B76" t="s">
        <v>101</v>
      </c>
      <c r="C76" t="s">
        <v>115</v>
      </c>
      <c r="D76" s="8">
        <v>273500</v>
      </c>
    </row>
    <row r="77" spans="2:4" x14ac:dyDescent="0.3">
      <c r="B77" t="s">
        <v>102</v>
      </c>
      <c r="C77" t="s">
        <v>115</v>
      </c>
      <c r="D77" s="8">
        <v>240000</v>
      </c>
    </row>
    <row r="78" spans="2:4" x14ac:dyDescent="0.3">
      <c r="B78" t="s">
        <v>103</v>
      </c>
      <c r="C78" t="s">
        <v>115</v>
      </c>
      <c r="D78" s="8">
        <v>253000</v>
      </c>
    </row>
    <row r="79" spans="2:4" x14ac:dyDescent="0.3">
      <c r="B79" t="s">
        <v>104</v>
      </c>
      <c r="C79" t="s">
        <v>115</v>
      </c>
      <c r="D79" s="8">
        <v>289500</v>
      </c>
    </row>
    <row r="80" spans="2:4" x14ac:dyDescent="0.3">
      <c r="B80" t="s">
        <v>105</v>
      </c>
      <c r="C80" t="s">
        <v>115</v>
      </c>
      <c r="D80" s="8">
        <v>347000</v>
      </c>
    </row>
  </sheetData>
  <sheetProtection algorithmName="SHA-512" hashValue="31TV0ls5O+/F/p9Wo70iAwvka3lSYmr+IQNpmPbmcJj3smsdTD6aqPNmaBPJOsEAp2lavfmrH/z2fFp+SaHsNg==" saltValue="BUUQXbH3csmeBAQ4gpcnog==" spinCount="100000" sheet="1" objects="1" scenarios="1" selectLockedCells="1" selectUnlockedCells="1"/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FB75-523E-46C6-9399-7681A25EE4A0}">
  <dimension ref="B2:L17"/>
  <sheetViews>
    <sheetView zoomScale="85" zoomScaleNormal="85" workbookViewId="0">
      <selection activeCell="V23" sqref="V23"/>
    </sheetView>
  </sheetViews>
  <sheetFormatPr defaultRowHeight="14.4" x14ac:dyDescent="0.3"/>
  <cols>
    <col min="1" max="1" width="5.6640625" customWidth="1"/>
    <col min="2" max="2" width="39.5546875" style="3" bestFit="1" customWidth="1"/>
    <col min="3" max="5" width="13.33203125" style="3" customWidth="1"/>
    <col min="6" max="6" width="5.6640625" customWidth="1"/>
    <col min="9" max="9" width="38.6640625" style="3" bestFit="1" customWidth="1"/>
    <col min="10" max="12" width="7.5546875" style="3" customWidth="1"/>
  </cols>
  <sheetData>
    <row r="2" spans="2:5" x14ac:dyDescent="0.3">
      <c r="C2" s="3" t="s">
        <v>116</v>
      </c>
      <c r="D2" s="3" t="s">
        <v>117</v>
      </c>
      <c r="E2" s="3" t="s">
        <v>108</v>
      </c>
    </row>
    <row r="3" spans="2:5" x14ac:dyDescent="0.3">
      <c r="B3" s="3" t="s">
        <v>118</v>
      </c>
      <c r="C3" s="3">
        <v>5</v>
      </c>
      <c r="D3" s="3">
        <v>6</v>
      </c>
      <c r="E3" s="3">
        <v>11</v>
      </c>
    </row>
    <row r="4" spans="2:5" x14ac:dyDescent="0.3">
      <c r="B4" s="3" t="s">
        <v>119</v>
      </c>
      <c r="C4" s="3">
        <v>4</v>
      </c>
      <c r="D4" s="3">
        <v>5</v>
      </c>
      <c r="E4" s="3">
        <v>9</v>
      </c>
    </row>
    <row r="5" spans="2:5" x14ac:dyDescent="0.3">
      <c r="B5" s="3" t="s">
        <v>108</v>
      </c>
      <c r="C5" s="3">
        <v>9</v>
      </c>
      <c r="D5" s="3">
        <v>11</v>
      </c>
      <c r="E5" s="3">
        <v>20</v>
      </c>
    </row>
    <row r="9" spans="2:5" x14ac:dyDescent="0.3">
      <c r="B9" s="3" t="s">
        <v>120</v>
      </c>
      <c r="C9" s="3" t="s">
        <v>121</v>
      </c>
      <c r="D9" s="3" t="s">
        <v>122</v>
      </c>
      <c r="E9" s="3" t="s">
        <v>123</v>
      </c>
    </row>
    <row r="10" spans="2:5" x14ac:dyDescent="0.3">
      <c r="B10" s="3">
        <v>4</v>
      </c>
      <c r="C10" s="3" t="s">
        <v>124</v>
      </c>
    </row>
    <row r="11" spans="2:5" x14ac:dyDescent="0.3">
      <c r="B11" s="3">
        <v>3</v>
      </c>
      <c r="D11" s="3" t="s">
        <v>124</v>
      </c>
    </row>
    <row r="12" spans="2:5" x14ac:dyDescent="0.3">
      <c r="B12" s="3">
        <v>2</v>
      </c>
      <c r="E12" s="3" t="s">
        <v>124</v>
      </c>
    </row>
    <row r="13" spans="2:5" x14ac:dyDescent="0.3">
      <c r="B13" s="3">
        <v>5</v>
      </c>
      <c r="C13" s="3" t="s">
        <v>124</v>
      </c>
      <c r="D13" s="3" t="s">
        <v>124</v>
      </c>
    </row>
    <row r="14" spans="2:5" x14ac:dyDescent="0.3">
      <c r="B14" s="3">
        <v>3</v>
      </c>
      <c r="C14" s="3" t="s">
        <v>124</v>
      </c>
      <c r="E14" s="3" t="s">
        <v>124</v>
      </c>
    </row>
    <row r="15" spans="2:5" x14ac:dyDescent="0.3">
      <c r="B15" s="3">
        <v>4</v>
      </c>
      <c r="D15" s="3" t="s">
        <v>124</v>
      </c>
      <c r="E15" s="3" t="s">
        <v>124</v>
      </c>
    </row>
    <row r="16" spans="2:5" x14ac:dyDescent="0.3">
      <c r="B16" s="3">
        <v>6</v>
      </c>
      <c r="C16" s="3" t="s">
        <v>124</v>
      </c>
      <c r="D16" s="3" t="s">
        <v>124</v>
      </c>
      <c r="E16" s="3" t="s">
        <v>124</v>
      </c>
    </row>
    <row r="17" spans="2:2" x14ac:dyDescent="0.3">
      <c r="B17" s="3">
        <v>3</v>
      </c>
    </row>
  </sheetData>
  <sheetProtection algorithmName="SHA-512" hashValue="boBXWp1n3coO4mmCz8zgov5ZRVOzGztCk3QPzJ5obL04g+2Zmf7pCj/EQ5QlRXSPrJFCPelNI7zW96q5AMEgdQ==" saltValue="GgCc1jlw1SiNTO7MWj2aHA==" spinCount="100000" sheet="1" objects="1" scenarios="1" selectLockedCells="1" selectUnlockedCells="1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C713-4CAE-4CF2-AAA8-FE4454E310F2}">
  <dimension ref="B2:C18"/>
  <sheetViews>
    <sheetView zoomScale="190" zoomScaleNormal="190" workbookViewId="0">
      <selection activeCell="V23" sqref="V23"/>
    </sheetView>
  </sheetViews>
  <sheetFormatPr defaultRowHeight="14.4" x14ac:dyDescent="0.3"/>
  <cols>
    <col min="2" max="2" width="15.21875" bestFit="1" customWidth="1"/>
    <col min="3" max="3" width="10.88671875" bestFit="1" customWidth="1"/>
  </cols>
  <sheetData>
    <row r="2" spans="2:3" x14ac:dyDescent="0.3">
      <c r="B2" s="9" t="s">
        <v>125</v>
      </c>
      <c r="C2" s="9" t="s">
        <v>126</v>
      </c>
    </row>
    <row r="3" spans="2:3" x14ac:dyDescent="0.3">
      <c r="B3" s="9" t="s">
        <v>127</v>
      </c>
      <c r="C3" s="9">
        <v>11</v>
      </c>
    </row>
    <row r="4" spans="2:3" x14ac:dyDescent="0.3">
      <c r="B4" s="9" t="s">
        <v>128</v>
      </c>
      <c r="C4" s="9">
        <v>6</v>
      </c>
    </row>
    <row r="5" spans="2:3" x14ac:dyDescent="0.3">
      <c r="B5" s="9" t="s">
        <v>129</v>
      </c>
      <c r="C5" s="9">
        <v>4</v>
      </c>
    </row>
    <row r="6" spans="2:3" x14ac:dyDescent="0.3">
      <c r="B6" s="9" t="s">
        <v>130</v>
      </c>
      <c r="C6" s="9">
        <v>8</v>
      </c>
    </row>
    <row r="7" spans="2:3" x14ac:dyDescent="0.3">
      <c r="B7" s="9" t="s">
        <v>131</v>
      </c>
      <c r="C7" s="9">
        <v>3</v>
      </c>
    </row>
    <row r="8" spans="2:3" x14ac:dyDescent="0.3">
      <c r="B8" s="9" t="s">
        <v>132</v>
      </c>
      <c r="C8" s="9">
        <v>2</v>
      </c>
    </row>
    <row r="11" spans="2:3" x14ac:dyDescent="0.3">
      <c r="B11" s="9" t="s">
        <v>133</v>
      </c>
      <c r="C11" s="9" t="s">
        <v>126</v>
      </c>
    </row>
    <row r="12" spans="2:3" x14ac:dyDescent="0.3">
      <c r="B12" s="9">
        <v>15</v>
      </c>
      <c r="C12" s="9">
        <v>2</v>
      </c>
    </row>
    <row r="13" spans="2:3" x14ac:dyDescent="0.3">
      <c r="B13" s="9">
        <v>14</v>
      </c>
      <c r="C13" s="9">
        <v>3</v>
      </c>
    </row>
    <row r="14" spans="2:3" x14ac:dyDescent="0.3">
      <c r="B14" s="9">
        <v>13</v>
      </c>
      <c r="C14" s="9">
        <v>2</v>
      </c>
    </row>
    <row r="15" spans="2:3" x14ac:dyDescent="0.3">
      <c r="B15" s="9">
        <v>12</v>
      </c>
      <c r="C15" s="9">
        <v>2</v>
      </c>
    </row>
    <row r="16" spans="2:3" x14ac:dyDescent="0.3">
      <c r="B16" s="9">
        <v>11</v>
      </c>
      <c r="C16" s="9">
        <v>1</v>
      </c>
    </row>
    <row r="17" spans="2:3" x14ac:dyDescent="0.3">
      <c r="B17" s="9">
        <v>10</v>
      </c>
      <c r="C17" s="9">
        <v>1</v>
      </c>
    </row>
    <row r="18" spans="2:3" x14ac:dyDescent="0.3">
      <c r="B18" s="9">
        <v>9</v>
      </c>
      <c r="C18" s="9">
        <v>1</v>
      </c>
    </row>
  </sheetData>
  <sheetProtection algorithmName="SHA-512" hashValue="Y3sx3SFNnucdUxBChQCIykVYdePdp4GH5YhJ4I2HVtsQQOPo2TVoG421YuY+yfh+PRuVuo4ScGEppOtkidjutw==" saltValue="7VBln+1EZDTSzrWpzwsf+g==" spinCount="100000" sheet="1" objects="1" scenarios="1" selectLockedCells="1" selectUnlockedCells="1"/>
  <pageMargins left="0.7" right="0.7" top="0.75" bottom="0.75" header="0.3" footer="0.3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08C60-7B07-46FC-BF39-6FFA8ABFBC7D}">
  <dimension ref="B2:I202"/>
  <sheetViews>
    <sheetView zoomScale="115" zoomScaleNormal="115" workbookViewId="0">
      <selection activeCell="V23" sqref="V23"/>
    </sheetView>
  </sheetViews>
  <sheetFormatPr defaultRowHeight="14.4" x14ac:dyDescent="0.3"/>
  <cols>
    <col min="6" max="6" width="7.6640625" customWidth="1"/>
    <col min="7" max="7" width="7.6640625" style="3" customWidth="1"/>
    <col min="8" max="8" width="7.6640625" customWidth="1"/>
    <col min="9" max="9" width="15" customWidth="1"/>
    <col min="10" max="10" width="7.6640625" customWidth="1"/>
  </cols>
  <sheetData>
    <row r="2" spans="2:9" x14ac:dyDescent="0.3">
      <c r="B2" t="s">
        <v>134</v>
      </c>
      <c r="C2" t="s">
        <v>135</v>
      </c>
      <c r="G2" t="s">
        <v>136</v>
      </c>
      <c r="H2" t="s">
        <v>137</v>
      </c>
    </row>
    <row r="3" spans="2:9" x14ac:dyDescent="0.3">
      <c r="B3">
        <v>1</v>
      </c>
      <c r="C3">
        <v>2</v>
      </c>
      <c r="D3">
        <v>4</v>
      </c>
      <c r="E3">
        <f t="array" ref="E3:E8">FREQUENCY($C$3:$C$202,D3:D8)</f>
        <v>60</v>
      </c>
      <c r="G3">
        <v>12</v>
      </c>
      <c r="H3">
        <v>15</v>
      </c>
      <c r="I3">
        <f t="array" ref="I3:I7">FREQUENCY($G$3:$G$22,H3:H7)</f>
        <v>4</v>
      </c>
    </row>
    <row r="4" spans="2:9" x14ac:dyDescent="0.3">
      <c r="B4">
        <v>2</v>
      </c>
      <c r="C4">
        <v>3</v>
      </c>
      <c r="D4">
        <v>9</v>
      </c>
      <c r="E4">
        <v>50</v>
      </c>
      <c r="G4">
        <v>25</v>
      </c>
      <c r="H4">
        <v>20</v>
      </c>
      <c r="I4">
        <v>5</v>
      </c>
    </row>
    <row r="5" spans="2:9" x14ac:dyDescent="0.3">
      <c r="B5">
        <v>3</v>
      </c>
      <c r="C5">
        <v>1</v>
      </c>
      <c r="D5">
        <v>14</v>
      </c>
      <c r="E5">
        <v>40</v>
      </c>
      <c r="G5">
        <v>18</v>
      </c>
      <c r="H5">
        <v>25</v>
      </c>
      <c r="I5">
        <v>5</v>
      </c>
    </row>
    <row r="6" spans="2:9" x14ac:dyDescent="0.3">
      <c r="B6">
        <v>4</v>
      </c>
      <c r="C6">
        <v>4</v>
      </c>
      <c r="D6">
        <v>19</v>
      </c>
      <c r="E6">
        <v>25</v>
      </c>
      <c r="G6">
        <v>30</v>
      </c>
      <c r="H6">
        <v>30</v>
      </c>
      <c r="I6">
        <v>4</v>
      </c>
    </row>
    <row r="7" spans="2:9" x14ac:dyDescent="0.3">
      <c r="B7">
        <v>5</v>
      </c>
      <c r="C7">
        <v>0</v>
      </c>
      <c r="D7">
        <v>24</v>
      </c>
      <c r="E7">
        <v>15</v>
      </c>
      <c r="G7">
        <v>22</v>
      </c>
      <c r="H7">
        <v>35</v>
      </c>
      <c r="I7">
        <v>2</v>
      </c>
    </row>
    <row r="8" spans="2:9" x14ac:dyDescent="0.3">
      <c r="B8">
        <v>6</v>
      </c>
      <c r="C8">
        <v>2</v>
      </c>
      <c r="D8">
        <v>29</v>
      </c>
      <c r="E8">
        <v>10</v>
      </c>
      <c r="G8">
        <v>15</v>
      </c>
    </row>
    <row r="9" spans="2:9" x14ac:dyDescent="0.3">
      <c r="B9">
        <v>7</v>
      </c>
      <c r="C9">
        <v>3</v>
      </c>
      <c r="G9">
        <v>27</v>
      </c>
    </row>
    <row r="10" spans="2:9" x14ac:dyDescent="0.3">
      <c r="B10">
        <v>8</v>
      </c>
      <c r="C10">
        <v>1</v>
      </c>
      <c r="G10">
        <v>10</v>
      </c>
    </row>
    <row r="11" spans="2:9" x14ac:dyDescent="0.3">
      <c r="B11">
        <v>9</v>
      </c>
      <c r="C11">
        <v>4</v>
      </c>
      <c r="G11">
        <v>20</v>
      </c>
    </row>
    <row r="12" spans="2:9" x14ac:dyDescent="0.3">
      <c r="B12">
        <v>10</v>
      </c>
      <c r="C12">
        <v>2</v>
      </c>
      <c r="G12">
        <v>17</v>
      </c>
    </row>
    <row r="13" spans="2:9" x14ac:dyDescent="0.3">
      <c r="B13">
        <v>11</v>
      </c>
      <c r="C13">
        <v>3</v>
      </c>
      <c r="G13">
        <v>16</v>
      </c>
    </row>
    <row r="14" spans="2:9" x14ac:dyDescent="0.3">
      <c r="B14">
        <v>12</v>
      </c>
      <c r="C14">
        <v>0</v>
      </c>
      <c r="G14">
        <v>24</v>
      </c>
    </row>
    <row r="15" spans="2:9" x14ac:dyDescent="0.3">
      <c r="B15">
        <v>13</v>
      </c>
      <c r="C15">
        <v>1</v>
      </c>
      <c r="G15">
        <v>28</v>
      </c>
    </row>
    <row r="16" spans="2:9" x14ac:dyDescent="0.3">
      <c r="B16">
        <v>14</v>
      </c>
      <c r="C16">
        <v>4</v>
      </c>
      <c r="G16">
        <v>35</v>
      </c>
    </row>
    <row r="17" spans="2:7" x14ac:dyDescent="0.3">
      <c r="B17">
        <v>15</v>
      </c>
      <c r="C17">
        <v>2</v>
      </c>
      <c r="G17">
        <v>14</v>
      </c>
    </row>
    <row r="18" spans="2:7" x14ac:dyDescent="0.3">
      <c r="B18">
        <v>16</v>
      </c>
      <c r="C18">
        <v>3</v>
      </c>
      <c r="G18">
        <v>19</v>
      </c>
    </row>
    <row r="19" spans="2:7" x14ac:dyDescent="0.3">
      <c r="B19">
        <v>17</v>
      </c>
      <c r="C19">
        <v>1</v>
      </c>
      <c r="G19">
        <v>23</v>
      </c>
    </row>
    <row r="20" spans="2:7" x14ac:dyDescent="0.3">
      <c r="B20">
        <v>18</v>
      </c>
      <c r="C20">
        <v>4</v>
      </c>
      <c r="G20">
        <v>32</v>
      </c>
    </row>
    <row r="21" spans="2:7" x14ac:dyDescent="0.3">
      <c r="B21">
        <v>19</v>
      </c>
      <c r="C21">
        <v>0</v>
      </c>
      <c r="G21">
        <v>21</v>
      </c>
    </row>
    <row r="22" spans="2:7" x14ac:dyDescent="0.3">
      <c r="B22">
        <v>20</v>
      </c>
      <c r="C22">
        <v>2</v>
      </c>
      <c r="G22">
        <v>26</v>
      </c>
    </row>
    <row r="23" spans="2:7" x14ac:dyDescent="0.3">
      <c r="B23">
        <v>21</v>
      </c>
      <c r="C23">
        <v>3</v>
      </c>
    </row>
    <row r="24" spans="2:7" x14ac:dyDescent="0.3">
      <c r="B24">
        <v>22</v>
      </c>
      <c r="C24">
        <v>1</v>
      </c>
    </row>
    <row r="25" spans="2:7" x14ac:dyDescent="0.3">
      <c r="B25">
        <v>23</v>
      </c>
      <c r="C25">
        <v>4</v>
      </c>
    </row>
    <row r="26" spans="2:7" x14ac:dyDescent="0.3">
      <c r="B26">
        <v>24</v>
      </c>
      <c r="C26">
        <v>2</v>
      </c>
    </row>
    <row r="27" spans="2:7" x14ac:dyDescent="0.3">
      <c r="B27">
        <v>25</v>
      </c>
      <c r="C27">
        <v>3</v>
      </c>
    </row>
    <row r="28" spans="2:7" x14ac:dyDescent="0.3">
      <c r="B28">
        <v>26</v>
      </c>
      <c r="C28">
        <v>0</v>
      </c>
    </row>
    <row r="29" spans="2:7" x14ac:dyDescent="0.3">
      <c r="B29">
        <v>27</v>
      </c>
      <c r="C29">
        <v>1</v>
      </c>
    </row>
    <row r="30" spans="2:7" x14ac:dyDescent="0.3">
      <c r="B30">
        <v>28</v>
      </c>
      <c r="C30">
        <v>4</v>
      </c>
    </row>
    <row r="31" spans="2:7" x14ac:dyDescent="0.3">
      <c r="B31">
        <v>29</v>
      </c>
      <c r="C31">
        <v>2</v>
      </c>
    </row>
    <row r="32" spans="2:7" x14ac:dyDescent="0.3">
      <c r="B32">
        <v>30</v>
      </c>
      <c r="C32">
        <v>3</v>
      </c>
    </row>
    <row r="33" spans="2:3" x14ac:dyDescent="0.3">
      <c r="B33">
        <v>31</v>
      </c>
      <c r="C33">
        <v>1</v>
      </c>
    </row>
    <row r="34" spans="2:3" x14ac:dyDescent="0.3">
      <c r="B34">
        <v>32</v>
      </c>
      <c r="C34">
        <v>4</v>
      </c>
    </row>
    <row r="35" spans="2:3" x14ac:dyDescent="0.3">
      <c r="B35">
        <v>33</v>
      </c>
      <c r="C35">
        <v>0</v>
      </c>
    </row>
    <row r="36" spans="2:3" x14ac:dyDescent="0.3">
      <c r="B36">
        <v>34</v>
      </c>
      <c r="C36">
        <v>2</v>
      </c>
    </row>
    <row r="37" spans="2:3" x14ac:dyDescent="0.3">
      <c r="B37">
        <v>35</v>
      </c>
      <c r="C37">
        <v>3</v>
      </c>
    </row>
    <row r="38" spans="2:3" x14ac:dyDescent="0.3">
      <c r="B38">
        <v>36</v>
      </c>
      <c r="C38">
        <v>1</v>
      </c>
    </row>
    <row r="39" spans="2:3" x14ac:dyDescent="0.3">
      <c r="B39">
        <v>37</v>
      </c>
      <c r="C39">
        <v>4</v>
      </c>
    </row>
    <row r="40" spans="2:3" x14ac:dyDescent="0.3">
      <c r="B40">
        <v>38</v>
      </c>
      <c r="C40">
        <v>2</v>
      </c>
    </row>
    <row r="41" spans="2:3" x14ac:dyDescent="0.3">
      <c r="B41">
        <v>39</v>
      </c>
      <c r="C41">
        <v>3</v>
      </c>
    </row>
    <row r="42" spans="2:3" x14ac:dyDescent="0.3">
      <c r="B42">
        <v>40</v>
      </c>
      <c r="C42">
        <v>0</v>
      </c>
    </row>
    <row r="43" spans="2:3" x14ac:dyDescent="0.3">
      <c r="B43">
        <v>41</v>
      </c>
      <c r="C43">
        <v>1</v>
      </c>
    </row>
    <row r="44" spans="2:3" x14ac:dyDescent="0.3">
      <c r="B44">
        <v>42</v>
      </c>
      <c r="C44">
        <v>4</v>
      </c>
    </row>
    <row r="45" spans="2:3" x14ac:dyDescent="0.3">
      <c r="B45">
        <v>43</v>
      </c>
      <c r="C45">
        <v>2</v>
      </c>
    </row>
    <row r="46" spans="2:3" x14ac:dyDescent="0.3">
      <c r="B46">
        <v>44</v>
      </c>
      <c r="C46">
        <v>3</v>
      </c>
    </row>
    <row r="47" spans="2:3" x14ac:dyDescent="0.3">
      <c r="B47">
        <v>45</v>
      </c>
      <c r="C47">
        <v>1</v>
      </c>
    </row>
    <row r="48" spans="2:3" x14ac:dyDescent="0.3">
      <c r="B48">
        <v>46</v>
      </c>
      <c r="C48">
        <v>4</v>
      </c>
    </row>
    <row r="49" spans="2:3" x14ac:dyDescent="0.3">
      <c r="B49">
        <v>47</v>
      </c>
      <c r="C49">
        <v>0</v>
      </c>
    </row>
    <row r="50" spans="2:3" x14ac:dyDescent="0.3">
      <c r="B50">
        <v>48</v>
      </c>
      <c r="C50">
        <v>2</v>
      </c>
    </row>
    <row r="51" spans="2:3" x14ac:dyDescent="0.3">
      <c r="B51">
        <v>49</v>
      </c>
      <c r="C51">
        <v>3</v>
      </c>
    </row>
    <row r="52" spans="2:3" x14ac:dyDescent="0.3">
      <c r="B52">
        <v>50</v>
      </c>
      <c r="C52">
        <v>1</v>
      </c>
    </row>
    <row r="53" spans="2:3" x14ac:dyDescent="0.3">
      <c r="B53">
        <v>51</v>
      </c>
      <c r="C53">
        <v>4</v>
      </c>
    </row>
    <row r="54" spans="2:3" x14ac:dyDescent="0.3">
      <c r="B54">
        <v>52</v>
      </c>
      <c r="C54">
        <v>2</v>
      </c>
    </row>
    <row r="55" spans="2:3" x14ac:dyDescent="0.3">
      <c r="B55">
        <v>53</v>
      </c>
      <c r="C55">
        <v>3</v>
      </c>
    </row>
    <row r="56" spans="2:3" x14ac:dyDescent="0.3">
      <c r="B56">
        <v>54</v>
      </c>
      <c r="C56">
        <v>0</v>
      </c>
    </row>
    <row r="57" spans="2:3" x14ac:dyDescent="0.3">
      <c r="B57">
        <v>55</v>
      </c>
      <c r="C57">
        <v>1</v>
      </c>
    </row>
    <row r="58" spans="2:3" x14ac:dyDescent="0.3">
      <c r="B58">
        <v>56</v>
      </c>
      <c r="C58">
        <v>4</v>
      </c>
    </row>
    <row r="59" spans="2:3" x14ac:dyDescent="0.3">
      <c r="B59">
        <v>57</v>
      </c>
      <c r="C59">
        <v>2</v>
      </c>
    </row>
    <row r="60" spans="2:3" x14ac:dyDescent="0.3">
      <c r="B60">
        <v>58</v>
      </c>
      <c r="C60">
        <v>3</v>
      </c>
    </row>
    <row r="61" spans="2:3" x14ac:dyDescent="0.3">
      <c r="B61">
        <v>59</v>
      </c>
      <c r="C61">
        <v>1</v>
      </c>
    </row>
    <row r="62" spans="2:3" x14ac:dyDescent="0.3">
      <c r="B62">
        <v>60</v>
      </c>
      <c r="C62">
        <v>4</v>
      </c>
    </row>
    <row r="63" spans="2:3" x14ac:dyDescent="0.3">
      <c r="B63">
        <v>61</v>
      </c>
      <c r="C63">
        <v>6</v>
      </c>
    </row>
    <row r="64" spans="2:3" x14ac:dyDescent="0.3">
      <c r="B64">
        <v>62</v>
      </c>
      <c r="C64">
        <v>7</v>
      </c>
    </row>
    <row r="65" spans="2:3" x14ac:dyDescent="0.3">
      <c r="B65">
        <v>63</v>
      </c>
      <c r="C65">
        <v>5</v>
      </c>
    </row>
    <row r="66" spans="2:3" x14ac:dyDescent="0.3">
      <c r="B66">
        <v>64</v>
      </c>
      <c r="C66">
        <v>8</v>
      </c>
    </row>
    <row r="67" spans="2:3" x14ac:dyDescent="0.3">
      <c r="B67">
        <v>65</v>
      </c>
      <c r="C67">
        <v>9</v>
      </c>
    </row>
    <row r="68" spans="2:3" x14ac:dyDescent="0.3">
      <c r="B68">
        <v>66</v>
      </c>
      <c r="C68">
        <v>6</v>
      </c>
    </row>
    <row r="69" spans="2:3" x14ac:dyDescent="0.3">
      <c r="B69">
        <v>67</v>
      </c>
      <c r="C69">
        <v>7</v>
      </c>
    </row>
    <row r="70" spans="2:3" x14ac:dyDescent="0.3">
      <c r="B70">
        <v>68</v>
      </c>
      <c r="C70">
        <v>5</v>
      </c>
    </row>
    <row r="71" spans="2:3" x14ac:dyDescent="0.3">
      <c r="B71">
        <v>69</v>
      </c>
      <c r="C71">
        <v>8</v>
      </c>
    </row>
    <row r="72" spans="2:3" x14ac:dyDescent="0.3">
      <c r="B72">
        <v>70</v>
      </c>
      <c r="C72">
        <v>9</v>
      </c>
    </row>
    <row r="73" spans="2:3" x14ac:dyDescent="0.3">
      <c r="B73">
        <v>71</v>
      </c>
      <c r="C73">
        <v>6</v>
      </c>
    </row>
    <row r="74" spans="2:3" x14ac:dyDescent="0.3">
      <c r="B74">
        <v>72</v>
      </c>
      <c r="C74">
        <v>7</v>
      </c>
    </row>
    <row r="75" spans="2:3" x14ac:dyDescent="0.3">
      <c r="B75">
        <v>73</v>
      </c>
      <c r="C75">
        <v>5</v>
      </c>
    </row>
    <row r="76" spans="2:3" x14ac:dyDescent="0.3">
      <c r="B76">
        <v>74</v>
      </c>
      <c r="C76">
        <v>8</v>
      </c>
    </row>
    <row r="77" spans="2:3" x14ac:dyDescent="0.3">
      <c r="B77">
        <v>75</v>
      </c>
      <c r="C77">
        <v>9</v>
      </c>
    </row>
    <row r="78" spans="2:3" x14ac:dyDescent="0.3">
      <c r="B78">
        <v>76</v>
      </c>
      <c r="C78">
        <v>6</v>
      </c>
    </row>
    <row r="79" spans="2:3" x14ac:dyDescent="0.3">
      <c r="B79">
        <v>77</v>
      </c>
      <c r="C79">
        <v>7</v>
      </c>
    </row>
    <row r="80" spans="2:3" x14ac:dyDescent="0.3">
      <c r="B80">
        <v>78</v>
      </c>
      <c r="C80">
        <v>5</v>
      </c>
    </row>
    <row r="81" spans="2:3" x14ac:dyDescent="0.3">
      <c r="B81">
        <v>79</v>
      </c>
      <c r="C81">
        <v>8</v>
      </c>
    </row>
    <row r="82" spans="2:3" x14ac:dyDescent="0.3">
      <c r="B82">
        <v>80</v>
      </c>
      <c r="C82">
        <v>9</v>
      </c>
    </row>
    <row r="83" spans="2:3" x14ac:dyDescent="0.3">
      <c r="B83">
        <v>81</v>
      </c>
      <c r="C83">
        <v>6</v>
      </c>
    </row>
    <row r="84" spans="2:3" x14ac:dyDescent="0.3">
      <c r="B84">
        <v>82</v>
      </c>
      <c r="C84">
        <v>7</v>
      </c>
    </row>
    <row r="85" spans="2:3" x14ac:dyDescent="0.3">
      <c r="B85">
        <v>83</v>
      </c>
      <c r="C85">
        <v>5</v>
      </c>
    </row>
    <row r="86" spans="2:3" x14ac:dyDescent="0.3">
      <c r="B86">
        <v>84</v>
      </c>
      <c r="C86">
        <v>8</v>
      </c>
    </row>
    <row r="87" spans="2:3" x14ac:dyDescent="0.3">
      <c r="B87">
        <v>85</v>
      </c>
      <c r="C87">
        <v>9</v>
      </c>
    </row>
    <row r="88" spans="2:3" x14ac:dyDescent="0.3">
      <c r="B88">
        <v>86</v>
      </c>
      <c r="C88">
        <v>6</v>
      </c>
    </row>
    <row r="89" spans="2:3" x14ac:dyDescent="0.3">
      <c r="B89">
        <v>87</v>
      </c>
      <c r="C89">
        <v>7</v>
      </c>
    </row>
    <row r="90" spans="2:3" x14ac:dyDescent="0.3">
      <c r="B90">
        <v>88</v>
      </c>
      <c r="C90">
        <v>5</v>
      </c>
    </row>
    <row r="91" spans="2:3" x14ac:dyDescent="0.3">
      <c r="B91">
        <v>89</v>
      </c>
      <c r="C91">
        <v>8</v>
      </c>
    </row>
    <row r="92" spans="2:3" x14ac:dyDescent="0.3">
      <c r="B92">
        <v>90</v>
      </c>
      <c r="C92">
        <v>9</v>
      </c>
    </row>
    <row r="93" spans="2:3" x14ac:dyDescent="0.3">
      <c r="B93">
        <v>91</v>
      </c>
      <c r="C93">
        <v>6</v>
      </c>
    </row>
    <row r="94" spans="2:3" x14ac:dyDescent="0.3">
      <c r="B94">
        <v>92</v>
      </c>
      <c r="C94">
        <v>7</v>
      </c>
    </row>
    <row r="95" spans="2:3" x14ac:dyDescent="0.3">
      <c r="B95">
        <v>93</v>
      </c>
      <c r="C95">
        <v>5</v>
      </c>
    </row>
    <row r="96" spans="2:3" x14ac:dyDescent="0.3">
      <c r="B96">
        <v>94</v>
      </c>
      <c r="C96">
        <v>8</v>
      </c>
    </row>
    <row r="97" spans="2:3" x14ac:dyDescent="0.3">
      <c r="B97">
        <v>95</v>
      </c>
      <c r="C97">
        <v>9</v>
      </c>
    </row>
    <row r="98" spans="2:3" x14ac:dyDescent="0.3">
      <c r="B98">
        <v>96</v>
      </c>
      <c r="C98">
        <v>6</v>
      </c>
    </row>
    <row r="99" spans="2:3" x14ac:dyDescent="0.3">
      <c r="B99">
        <v>97</v>
      </c>
      <c r="C99">
        <v>7</v>
      </c>
    </row>
    <row r="100" spans="2:3" x14ac:dyDescent="0.3">
      <c r="B100">
        <v>98</v>
      </c>
      <c r="C100">
        <v>5</v>
      </c>
    </row>
    <row r="101" spans="2:3" x14ac:dyDescent="0.3">
      <c r="B101">
        <v>99</v>
      </c>
      <c r="C101">
        <v>8</v>
      </c>
    </row>
    <row r="102" spans="2:3" x14ac:dyDescent="0.3">
      <c r="B102">
        <v>100</v>
      </c>
      <c r="C102">
        <v>9</v>
      </c>
    </row>
    <row r="103" spans="2:3" x14ac:dyDescent="0.3">
      <c r="B103">
        <v>101</v>
      </c>
      <c r="C103">
        <v>6</v>
      </c>
    </row>
    <row r="104" spans="2:3" x14ac:dyDescent="0.3">
      <c r="B104">
        <v>102</v>
      </c>
      <c r="C104">
        <v>7</v>
      </c>
    </row>
    <row r="105" spans="2:3" x14ac:dyDescent="0.3">
      <c r="B105">
        <v>103</v>
      </c>
      <c r="C105">
        <v>5</v>
      </c>
    </row>
    <row r="106" spans="2:3" x14ac:dyDescent="0.3">
      <c r="B106">
        <v>104</v>
      </c>
      <c r="C106">
        <v>8</v>
      </c>
    </row>
    <row r="107" spans="2:3" x14ac:dyDescent="0.3">
      <c r="B107">
        <v>105</v>
      </c>
      <c r="C107">
        <v>9</v>
      </c>
    </row>
    <row r="108" spans="2:3" x14ac:dyDescent="0.3">
      <c r="B108">
        <v>106</v>
      </c>
      <c r="C108">
        <v>6</v>
      </c>
    </row>
    <row r="109" spans="2:3" x14ac:dyDescent="0.3">
      <c r="B109">
        <v>107</v>
      </c>
      <c r="C109">
        <v>7</v>
      </c>
    </row>
    <row r="110" spans="2:3" x14ac:dyDescent="0.3">
      <c r="B110">
        <v>108</v>
      </c>
      <c r="C110">
        <v>5</v>
      </c>
    </row>
    <row r="111" spans="2:3" x14ac:dyDescent="0.3">
      <c r="B111">
        <v>109</v>
      </c>
      <c r="C111">
        <v>8</v>
      </c>
    </row>
    <row r="112" spans="2:3" x14ac:dyDescent="0.3">
      <c r="B112">
        <v>110</v>
      </c>
      <c r="C112">
        <v>9</v>
      </c>
    </row>
    <row r="113" spans="2:3" x14ac:dyDescent="0.3">
      <c r="B113">
        <v>111</v>
      </c>
      <c r="C113">
        <v>12</v>
      </c>
    </row>
    <row r="114" spans="2:3" x14ac:dyDescent="0.3">
      <c r="B114">
        <v>112</v>
      </c>
      <c r="C114">
        <v>11</v>
      </c>
    </row>
    <row r="115" spans="2:3" x14ac:dyDescent="0.3">
      <c r="B115">
        <v>113</v>
      </c>
      <c r="C115">
        <v>10</v>
      </c>
    </row>
    <row r="116" spans="2:3" x14ac:dyDescent="0.3">
      <c r="B116">
        <v>114</v>
      </c>
      <c r="C116">
        <v>13</v>
      </c>
    </row>
    <row r="117" spans="2:3" x14ac:dyDescent="0.3">
      <c r="B117">
        <v>115</v>
      </c>
      <c r="C117">
        <v>14</v>
      </c>
    </row>
    <row r="118" spans="2:3" x14ac:dyDescent="0.3">
      <c r="B118">
        <v>116</v>
      </c>
      <c r="C118">
        <v>12</v>
      </c>
    </row>
    <row r="119" spans="2:3" x14ac:dyDescent="0.3">
      <c r="B119">
        <v>117</v>
      </c>
      <c r="C119">
        <v>11</v>
      </c>
    </row>
    <row r="120" spans="2:3" x14ac:dyDescent="0.3">
      <c r="B120">
        <v>118</v>
      </c>
      <c r="C120">
        <v>10</v>
      </c>
    </row>
    <row r="121" spans="2:3" x14ac:dyDescent="0.3">
      <c r="B121">
        <v>119</v>
      </c>
      <c r="C121">
        <v>13</v>
      </c>
    </row>
    <row r="122" spans="2:3" x14ac:dyDescent="0.3">
      <c r="B122">
        <v>120</v>
      </c>
      <c r="C122">
        <v>14</v>
      </c>
    </row>
    <row r="123" spans="2:3" x14ac:dyDescent="0.3">
      <c r="B123">
        <v>121</v>
      </c>
      <c r="C123">
        <v>12</v>
      </c>
    </row>
    <row r="124" spans="2:3" x14ac:dyDescent="0.3">
      <c r="B124">
        <v>122</v>
      </c>
      <c r="C124">
        <v>11</v>
      </c>
    </row>
    <row r="125" spans="2:3" x14ac:dyDescent="0.3">
      <c r="B125">
        <v>123</v>
      </c>
      <c r="C125">
        <v>10</v>
      </c>
    </row>
    <row r="126" spans="2:3" x14ac:dyDescent="0.3">
      <c r="B126">
        <v>124</v>
      </c>
      <c r="C126">
        <v>13</v>
      </c>
    </row>
    <row r="127" spans="2:3" x14ac:dyDescent="0.3">
      <c r="B127">
        <v>125</v>
      </c>
      <c r="C127">
        <v>14</v>
      </c>
    </row>
    <row r="128" spans="2:3" x14ac:dyDescent="0.3">
      <c r="B128">
        <v>126</v>
      </c>
      <c r="C128">
        <v>12</v>
      </c>
    </row>
    <row r="129" spans="2:3" x14ac:dyDescent="0.3">
      <c r="B129">
        <v>127</v>
      </c>
      <c r="C129">
        <v>11</v>
      </c>
    </row>
    <row r="130" spans="2:3" x14ac:dyDescent="0.3">
      <c r="B130">
        <v>128</v>
      </c>
      <c r="C130">
        <v>10</v>
      </c>
    </row>
    <row r="131" spans="2:3" x14ac:dyDescent="0.3">
      <c r="B131">
        <v>129</v>
      </c>
      <c r="C131">
        <v>13</v>
      </c>
    </row>
    <row r="132" spans="2:3" x14ac:dyDescent="0.3">
      <c r="B132">
        <v>130</v>
      </c>
      <c r="C132">
        <v>14</v>
      </c>
    </row>
    <row r="133" spans="2:3" x14ac:dyDescent="0.3">
      <c r="B133">
        <v>131</v>
      </c>
      <c r="C133">
        <v>12</v>
      </c>
    </row>
    <row r="134" spans="2:3" x14ac:dyDescent="0.3">
      <c r="B134">
        <v>132</v>
      </c>
      <c r="C134">
        <v>11</v>
      </c>
    </row>
    <row r="135" spans="2:3" x14ac:dyDescent="0.3">
      <c r="B135">
        <v>133</v>
      </c>
      <c r="C135">
        <v>10</v>
      </c>
    </row>
    <row r="136" spans="2:3" x14ac:dyDescent="0.3">
      <c r="B136">
        <v>134</v>
      </c>
      <c r="C136">
        <v>13</v>
      </c>
    </row>
    <row r="137" spans="2:3" x14ac:dyDescent="0.3">
      <c r="B137">
        <v>135</v>
      </c>
      <c r="C137">
        <v>14</v>
      </c>
    </row>
    <row r="138" spans="2:3" x14ac:dyDescent="0.3">
      <c r="B138">
        <v>136</v>
      </c>
      <c r="C138">
        <v>12</v>
      </c>
    </row>
    <row r="139" spans="2:3" x14ac:dyDescent="0.3">
      <c r="B139">
        <v>137</v>
      </c>
      <c r="C139">
        <v>11</v>
      </c>
    </row>
    <row r="140" spans="2:3" x14ac:dyDescent="0.3">
      <c r="B140">
        <v>138</v>
      </c>
      <c r="C140">
        <v>10</v>
      </c>
    </row>
    <row r="141" spans="2:3" x14ac:dyDescent="0.3">
      <c r="B141">
        <v>139</v>
      </c>
      <c r="C141">
        <v>13</v>
      </c>
    </row>
    <row r="142" spans="2:3" x14ac:dyDescent="0.3">
      <c r="B142">
        <v>140</v>
      </c>
      <c r="C142">
        <v>14</v>
      </c>
    </row>
    <row r="143" spans="2:3" x14ac:dyDescent="0.3">
      <c r="B143">
        <v>141</v>
      </c>
      <c r="C143">
        <v>12</v>
      </c>
    </row>
    <row r="144" spans="2:3" x14ac:dyDescent="0.3">
      <c r="B144">
        <v>142</v>
      </c>
      <c r="C144">
        <v>11</v>
      </c>
    </row>
    <row r="145" spans="2:3" x14ac:dyDescent="0.3">
      <c r="B145">
        <v>143</v>
      </c>
      <c r="C145">
        <v>10</v>
      </c>
    </row>
    <row r="146" spans="2:3" x14ac:dyDescent="0.3">
      <c r="B146">
        <v>144</v>
      </c>
      <c r="C146">
        <v>13</v>
      </c>
    </row>
    <row r="147" spans="2:3" x14ac:dyDescent="0.3">
      <c r="B147">
        <v>145</v>
      </c>
      <c r="C147">
        <v>14</v>
      </c>
    </row>
    <row r="148" spans="2:3" x14ac:dyDescent="0.3">
      <c r="B148">
        <v>146</v>
      </c>
      <c r="C148">
        <v>12</v>
      </c>
    </row>
    <row r="149" spans="2:3" x14ac:dyDescent="0.3">
      <c r="B149">
        <v>147</v>
      </c>
      <c r="C149">
        <v>11</v>
      </c>
    </row>
    <row r="150" spans="2:3" x14ac:dyDescent="0.3">
      <c r="B150">
        <v>148</v>
      </c>
      <c r="C150">
        <v>10</v>
      </c>
    </row>
    <row r="151" spans="2:3" x14ac:dyDescent="0.3">
      <c r="B151">
        <v>149</v>
      </c>
      <c r="C151">
        <v>13</v>
      </c>
    </row>
    <row r="152" spans="2:3" x14ac:dyDescent="0.3">
      <c r="B152">
        <v>150</v>
      </c>
      <c r="C152">
        <v>14</v>
      </c>
    </row>
    <row r="153" spans="2:3" x14ac:dyDescent="0.3">
      <c r="B153">
        <v>151</v>
      </c>
      <c r="C153">
        <v>17</v>
      </c>
    </row>
    <row r="154" spans="2:3" x14ac:dyDescent="0.3">
      <c r="B154">
        <v>152</v>
      </c>
      <c r="C154">
        <v>16</v>
      </c>
    </row>
    <row r="155" spans="2:3" x14ac:dyDescent="0.3">
      <c r="B155">
        <v>153</v>
      </c>
      <c r="C155">
        <v>15</v>
      </c>
    </row>
    <row r="156" spans="2:3" x14ac:dyDescent="0.3">
      <c r="B156">
        <v>154</v>
      </c>
      <c r="C156">
        <v>18</v>
      </c>
    </row>
    <row r="157" spans="2:3" x14ac:dyDescent="0.3">
      <c r="B157">
        <v>155</v>
      </c>
      <c r="C157">
        <v>19</v>
      </c>
    </row>
    <row r="158" spans="2:3" x14ac:dyDescent="0.3">
      <c r="B158">
        <v>156</v>
      </c>
      <c r="C158">
        <v>17</v>
      </c>
    </row>
    <row r="159" spans="2:3" x14ac:dyDescent="0.3">
      <c r="B159">
        <v>157</v>
      </c>
      <c r="C159">
        <v>16</v>
      </c>
    </row>
    <row r="160" spans="2:3" x14ac:dyDescent="0.3">
      <c r="B160">
        <v>158</v>
      </c>
      <c r="C160">
        <v>15</v>
      </c>
    </row>
    <row r="161" spans="2:3" x14ac:dyDescent="0.3">
      <c r="B161">
        <v>159</v>
      </c>
      <c r="C161">
        <v>18</v>
      </c>
    </row>
    <row r="162" spans="2:3" x14ac:dyDescent="0.3">
      <c r="B162">
        <v>160</v>
      </c>
      <c r="C162">
        <v>19</v>
      </c>
    </row>
    <row r="163" spans="2:3" x14ac:dyDescent="0.3">
      <c r="B163">
        <v>161</v>
      </c>
      <c r="C163">
        <v>17</v>
      </c>
    </row>
    <row r="164" spans="2:3" x14ac:dyDescent="0.3">
      <c r="B164">
        <v>162</v>
      </c>
      <c r="C164">
        <v>16</v>
      </c>
    </row>
    <row r="165" spans="2:3" x14ac:dyDescent="0.3">
      <c r="B165">
        <v>163</v>
      </c>
      <c r="C165">
        <v>15</v>
      </c>
    </row>
    <row r="166" spans="2:3" x14ac:dyDescent="0.3">
      <c r="B166">
        <v>164</v>
      </c>
      <c r="C166">
        <v>18</v>
      </c>
    </row>
    <row r="167" spans="2:3" x14ac:dyDescent="0.3">
      <c r="B167">
        <v>165</v>
      </c>
      <c r="C167">
        <v>19</v>
      </c>
    </row>
    <row r="168" spans="2:3" x14ac:dyDescent="0.3">
      <c r="B168">
        <v>166</v>
      </c>
      <c r="C168">
        <v>17</v>
      </c>
    </row>
    <row r="169" spans="2:3" x14ac:dyDescent="0.3">
      <c r="B169">
        <v>167</v>
      </c>
      <c r="C169">
        <v>16</v>
      </c>
    </row>
    <row r="170" spans="2:3" x14ac:dyDescent="0.3">
      <c r="B170">
        <v>168</v>
      </c>
      <c r="C170">
        <v>15</v>
      </c>
    </row>
    <row r="171" spans="2:3" x14ac:dyDescent="0.3">
      <c r="B171">
        <v>169</v>
      </c>
      <c r="C171">
        <v>18</v>
      </c>
    </row>
    <row r="172" spans="2:3" x14ac:dyDescent="0.3">
      <c r="B172">
        <v>170</v>
      </c>
      <c r="C172">
        <v>19</v>
      </c>
    </row>
    <row r="173" spans="2:3" x14ac:dyDescent="0.3">
      <c r="B173">
        <v>171</v>
      </c>
      <c r="C173">
        <v>17</v>
      </c>
    </row>
    <row r="174" spans="2:3" x14ac:dyDescent="0.3">
      <c r="B174">
        <v>172</v>
      </c>
      <c r="C174">
        <v>16</v>
      </c>
    </row>
    <row r="175" spans="2:3" x14ac:dyDescent="0.3">
      <c r="B175">
        <v>173</v>
      </c>
      <c r="C175">
        <v>15</v>
      </c>
    </row>
    <row r="176" spans="2:3" x14ac:dyDescent="0.3">
      <c r="B176">
        <v>174</v>
      </c>
      <c r="C176">
        <v>18</v>
      </c>
    </row>
    <row r="177" spans="2:3" x14ac:dyDescent="0.3">
      <c r="B177">
        <v>175</v>
      </c>
      <c r="C177">
        <v>19</v>
      </c>
    </row>
    <row r="178" spans="2:3" x14ac:dyDescent="0.3">
      <c r="B178">
        <v>176</v>
      </c>
      <c r="C178">
        <v>22</v>
      </c>
    </row>
    <row r="179" spans="2:3" x14ac:dyDescent="0.3">
      <c r="B179">
        <v>177</v>
      </c>
      <c r="C179">
        <v>21</v>
      </c>
    </row>
    <row r="180" spans="2:3" x14ac:dyDescent="0.3">
      <c r="B180">
        <v>178</v>
      </c>
      <c r="C180">
        <v>20</v>
      </c>
    </row>
    <row r="181" spans="2:3" x14ac:dyDescent="0.3">
      <c r="B181">
        <v>179</v>
      </c>
      <c r="C181">
        <v>23</v>
      </c>
    </row>
    <row r="182" spans="2:3" x14ac:dyDescent="0.3">
      <c r="B182">
        <v>180</v>
      </c>
      <c r="C182">
        <v>24</v>
      </c>
    </row>
    <row r="183" spans="2:3" x14ac:dyDescent="0.3">
      <c r="B183">
        <v>181</v>
      </c>
      <c r="C183">
        <v>22</v>
      </c>
    </row>
    <row r="184" spans="2:3" x14ac:dyDescent="0.3">
      <c r="B184">
        <v>182</v>
      </c>
      <c r="C184">
        <v>21</v>
      </c>
    </row>
    <row r="185" spans="2:3" x14ac:dyDescent="0.3">
      <c r="B185">
        <v>183</v>
      </c>
      <c r="C185">
        <v>20</v>
      </c>
    </row>
    <row r="186" spans="2:3" x14ac:dyDescent="0.3">
      <c r="B186">
        <v>184</v>
      </c>
      <c r="C186">
        <v>23</v>
      </c>
    </row>
    <row r="187" spans="2:3" x14ac:dyDescent="0.3">
      <c r="B187">
        <v>185</v>
      </c>
      <c r="C187">
        <v>24</v>
      </c>
    </row>
    <row r="188" spans="2:3" x14ac:dyDescent="0.3">
      <c r="B188">
        <v>186</v>
      </c>
      <c r="C188">
        <v>22</v>
      </c>
    </row>
    <row r="189" spans="2:3" x14ac:dyDescent="0.3">
      <c r="B189">
        <v>187</v>
      </c>
      <c r="C189">
        <v>21</v>
      </c>
    </row>
    <row r="190" spans="2:3" x14ac:dyDescent="0.3">
      <c r="B190">
        <v>188</v>
      </c>
      <c r="C190">
        <v>20</v>
      </c>
    </row>
    <row r="191" spans="2:3" x14ac:dyDescent="0.3">
      <c r="B191">
        <v>189</v>
      </c>
      <c r="C191">
        <v>23</v>
      </c>
    </row>
    <row r="192" spans="2:3" x14ac:dyDescent="0.3">
      <c r="B192">
        <v>190</v>
      </c>
      <c r="C192">
        <v>24</v>
      </c>
    </row>
    <row r="193" spans="2:3" x14ac:dyDescent="0.3">
      <c r="B193">
        <v>191</v>
      </c>
      <c r="C193">
        <v>27</v>
      </c>
    </row>
    <row r="194" spans="2:3" x14ac:dyDescent="0.3">
      <c r="B194">
        <v>192</v>
      </c>
      <c r="C194">
        <v>26</v>
      </c>
    </row>
    <row r="195" spans="2:3" x14ac:dyDescent="0.3">
      <c r="B195">
        <v>193</v>
      </c>
      <c r="C195">
        <v>25</v>
      </c>
    </row>
    <row r="196" spans="2:3" x14ac:dyDescent="0.3">
      <c r="B196">
        <v>194</v>
      </c>
      <c r="C196">
        <v>28</v>
      </c>
    </row>
    <row r="197" spans="2:3" x14ac:dyDescent="0.3">
      <c r="B197">
        <v>195</v>
      </c>
      <c r="C197">
        <v>29</v>
      </c>
    </row>
    <row r="198" spans="2:3" x14ac:dyDescent="0.3">
      <c r="B198">
        <v>196</v>
      </c>
      <c r="C198">
        <v>27</v>
      </c>
    </row>
    <row r="199" spans="2:3" x14ac:dyDescent="0.3">
      <c r="B199">
        <v>197</v>
      </c>
      <c r="C199">
        <v>26</v>
      </c>
    </row>
    <row r="200" spans="2:3" x14ac:dyDescent="0.3">
      <c r="B200">
        <v>198</v>
      </c>
      <c r="C200">
        <v>25</v>
      </c>
    </row>
    <row r="201" spans="2:3" x14ac:dyDescent="0.3">
      <c r="B201">
        <v>199</v>
      </c>
      <c r="C201">
        <v>28</v>
      </c>
    </row>
    <row r="202" spans="2:3" x14ac:dyDescent="0.3">
      <c r="B202">
        <v>200</v>
      </c>
      <c r="C202">
        <v>29</v>
      </c>
    </row>
  </sheetData>
  <sheetProtection algorithmName="SHA-512" hashValue="mRxU0dNrZlL/oIC5oWzFkxC6tf3t07N/52P836sHUy8U+d5mTkRCdXIMN7SPjZIhttubiVP+P01kT6/GqxrRZg==" saltValue="Zwz3cImY+i7YUeb7xc9SHA==" spinCount="100000" sheet="1" objects="1" scenarios="1" selectLockedCells="1" selectUn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Olympic Summer Games</vt:lpstr>
      <vt:lpstr>Olympic Winter Games</vt:lpstr>
      <vt:lpstr>Olympic Games Comparison</vt:lpstr>
      <vt:lpstr>Average Temperature</vt:lpstr>
      <vt:lpstr>Savings</vt:lpstr>
      <vt:lpstr>CoffeeShop Revenue</vt:lpstr>
      <vt:lpstr>Venn Diagrams</vt:lpstr>
      <vt:lpstr>Dot Plots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Decr0zeath</dc:creator>
  <cp:lastModifiedBy>Decr0zeath</cp:lastModifiedBy>
  <dcterms:created xsi:type="dcterms:W3CDTF">2026-01-25T17:03:29Z</dcterms:created>
  <dcterms:modified xsi:type="dcterms:W3CDTF">2026-03-01T16:25:32Z</dcterms:modified>
</cp:coreProperties>
</file>