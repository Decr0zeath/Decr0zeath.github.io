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cr0zeath\Downloads\GITFILES\VEB-QM\--02. Class Contents\--01. MODULE 01 - Visualizing Data (Part 1)\resources\"/>
    </mc:Choice>
  </mc:AlternateContent>
  <xr:revisionPtr revIDLastSave="0" documentId="13_ncr:1_{15CAAF58-3365-470F-8C2B-EB8929EE2557}" xr6:coauthVersionLast="47" xr6:coauthVersionMax="47" xr10:uidLastSave="{00000000-0000-0000-0000-000000000000}"/>
  <bookViews>
    <workbookView xWindow="-108" yWindow="-108" windowWidth="30936" windowHeight="16896" activeTab="4" xr2:uid="{9C9942FF-C0EB-48B0-817D-E646496F4249}"/>
  </bookViews>
  <sheets>
    <sheet name="oly_summergames_dataset" sheetId="1" r:id="rId1"/>
    <sheet name="oly_wintergames_dataset" sheetId="4" r:id="rId2"/>
    <sheet name="combine_olympics" sheetId="6" r:id="rId3"/>
    <sheet name="avgtemp_dataset" sheetId="7" r:id="rId4"/>
    <sheet name="savings_dataset" sheetId="8" r:id="rId5"/>
  </sheets>
  <calcPr calcId="181029"/>
  <pivotCaches>
    <pivotCache cacheId="0" r:id="rId6"/>
    <pivotCache cacheId="1" r:id="rId7"/>
    <pivotCache cacheId="2" r:id="rId8"/>
    <pivotCache cacheId="6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8" l="1"/>
  <c r="D5" i="8" s="1"/>
  <c r="D6" i="8" s="1"/>
  <c r="D7" i="8" s="1"/>
  <c r="D8" i="8" s="1"/>
  <c r="D9" i="8" s="1"/>
  <c r="D10" i="8" s="1"/>
  <c r="D11" i="8" s="1"/>
  <c r="D12" i="8" s="1"/>
</calcChain>
</file>

<file path=xl/sharedStrings.xml><?xml version="1.0" encoding="utf-8"?>
<sst xmlns="http://schemas.openxmlformats.org/spreadsheetml/2006/main" count="440" uniqueCount="111">
  <si>
    <t>Games</t>
  </si>
  <si>
    <t>Year</t>
  </si>
  <si>
    <t>City, Country</t>
  </si>
  <si>
    <t>Continent</t>
  </si>
  <si>
    <t>I</t>
  </si>
  <si>
    <t>Athens, Greece</t>
  </si>
  <si>
    <t>Europe</t>
  </si>
  <si>
    <t>II</t>
  </si>
  <si>
    <t>Paris, France</t>
  </si>
  <si>
    <t>III</t>
  </si>
  <si>
    <t>St. Louis, United States</t>
  </si>
  <si>
    <t>North America</t>
  </si>
  <si>
    <t>IV</t>
  </si>
  <si>
    <t>London, United Kingdom</t>
  </si>
  <si>
    <t>V</t>
  </si>
  <si>
    <t>Stockholm, Sweden</t>
  </si>
  <si>
    <t>VII</t>
  </si>
  <si>
    <t>Antwerp, Belgium</t>
  </si>
  <si>
    <t>VIII</t>
  </si>
  <si>
    <t>IX</t>
  </si>
  <si>
    <t>Amsterdam, Netherlands</t>
  </si>
  <si>
    <t>X</t>
  </si>
  <si>
    <t>Los Angeles, United States</t>
  </si>
  <si>
    <t>XI</t>
  </si>
  <si>
    <t>Berlin, Germany</t>
  </si>
  <si>
    <t>XIV</t>
  </si>
  <si>
    <t>XV</t>
  </si>
  <si>
    <t>Helsinki, Finland</t>
  </si>
  <si>
    <t>XVI</t>
  </si>
  <si>
    <t>Melbourne, Australia</t>
  </si>
  <si>
    <t>Australia</t>
  </si>
  <si>
    <t>XVII</t>
  </si>
  <si>
    <t>Rome, Italy</t>
  </si>
  <si>
    <t>XVIII</t>
  </si>
  <si>
    <t>Tokyo, Japan</t>
  </si>
  <si>
    <t>Asia</t>
  </si>
  <si>
    <t>XIX</t>
  </si>
  <si>
    <t>Mexico City, Mexico</t>
  </si>
  <si>
    <t>XX</t>
  </si>
  <si>
    <t>Munich, West Germany</t>
  </si>
  <si>
    <t>XXI</t>
  </si>
  <si>
    <t>Montreal, Canada</t>
  </si>
  <si>
    <t>XXII</t>
  </si>
  <si>
    <t>Moscow, Soviet Union</t>
  </si>
  <si>
    <t>XXIII</t>
  </si>
  <si>
    <t>XXIV</t>
  </si>
  <si>
    <t>Seoul, South Korea</t>
  </si>
  <si>
    <t>XXV</t>
  </si>
  <si>
    <t>Barcelona, Spain</t>
  </si>
  <si>
    <t>XXVI</t>
  </si>
  <si>
    <t>Atlanta, United States</t>
  </si>
  <si>
    <t>XXVII</t>
  </si>
  <si>
    <t>Sydney, Australia</t>
  </si>
  <si>
    <t>XXVIII</t>
  </si>
  <si>
    <t>XXIX</t>
  </si>
  <si>
    <t>Beijing, China</t>
  </si>
  <si>
    <t>XXX</t>
  </si>
  <si>
    <t>XXXI</t>
  </si>
  <si>
    <t>Rio de Janeiro, Brazil</t>
  </si>
  <si>
    <t>South America</t>
  </si>
  <si>
    <t>Row Labels</t>
  </si>
  <si>
    <t>Grand Total</t>
  </si>
  <si>
    <t>Count of Continent</t>
  </si>
  <si>
    <t>Chamonix, France</t>
  </si>
  <si>
    <t>St. Moritz, Switzerland</t>
  </si>
  <si>
    <t>Lake Placid, United States</t>
  </si>
  <si>
    <t>Garmisch-Partenkirchen, Germany</t>
  </si>
  <si>
    <t>VI</t>
  </si>
  <si>
    <t>Oslo, Norway</t>
  </si>
  <si>
    <t>Cortina d'Ampezzo, Italy</t>
  </si>
  <si>
    <t>Squaw Valley, United States</t>
  </si>
  <si>
    <t>Innsbruck, Austria</t>
  </si>
  <si>
    <t>Grenoble, France</t>
  </si>
  <si>
    <t>Sapporo, Japan</t>
  </si>
  <si>
    <t>XII</t>
  </si>
  <si>
    <t>XIII</t>
  </si>
  <si>
    <t>Sarajevo, Yugoslavia</t>
  </si>
  <si>
    <t>Calgary, Canada</t>
  </si>
  <si>
    <t>Albertville, France</t>
  </si>
  <si>
    <t>Lillehammer, Norway</t>
  </si>
  <si>
    <t>Nagano, Japan</t>
  </si>
  <si>
    <t>Salt Lake City, United States</t>
  </si>
  <si>
    <t>Turin, Italy</t>
  </si>
  <si>
    <t>Vancouver, Canada</t>
  </si>
  <si>
    <t>Sochi, Russia</t>
  </si>
  <si>
    <t>Pyeongchang, South Korea</t>
  </si>
  <si>
    <t>Game</t>
  </si>
  <si>
    <t>City, County</t>
  </si>
  <si>
    <t>Winter Games</t>
  </si>
  <si>
    <t>Summer Games</t>
  </si>
  <si>
    <t>Season</t>
  </si>
  <si>
    <t>Column Labels</t>
  </si>
  <si>
    <t>Month</t>
  </si>
  <si>
    <t>Average High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</si>
  <si>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</si>
  <si>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</si>
  <si>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</si>
  <si>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</si>
  <si>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</si>
  <si>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</si>
  <si>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</si>
  <si>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</si>
  <si>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</si>
  <si>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</si>
  <si>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</si>
  <si>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</si>
  <si>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Age</t>
  </si>
  <si>
    <t>Investment</t>
  </si>
  <si>
    <t>Total</t>
  </si>
  <si>
    <t>Sum of Total</t>
  </si>
  <si>
    <t>Sum of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</si>
</sst>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;[Red]\-&quot;₱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₱&quot;#,##0;[Red]\-&quot;₱&quot;#,##0"/>
      <alignment horizontal="center" vertical="center" textRotation="0" wrapText="0" indent="0" justifyLastLine="0" shrinkToFit="0" readingOrder="0"/>
    </dxf>
    <dxf>
      <numFmt numFmtId="164" formatCode="&quot;₱&quot;#,##0;[Red]\-&quot;₱&quot;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[module01-output.xlsx]oly_summergames_dataset!PivotTable1</c:name>
    <c:fmtId val="3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oly_summergames_dataset!$H$2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oly_summergames_dataset!$G$3:$G$8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oly_summergames_dataset!$H$3:$H$8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6-4F24-95F2-10874A4B2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-27"/>
        <c:axId val="113969432"/>
        <c:axId val="113970152"/>
      </c:barChart>
      <c:catAx>
        <c:axId val="113969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13970152"/>
        <c:crosses val="autoZero"/>
        <c:auto val="1"/>
        <c:lblAlgn val="ctr"/>
        <c:lblOffset val="100"/>
        <c:noMultiLvlLbl val="0"/>
      </c:catAx>
      <c:valAx>
        <c:axId val="11397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139694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[module01-output.xlsx]oly_summergames_dataset!PivotTable3</c:name>
    <c:fmtId val="5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oly_summergames_dataset!$H$10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oly_summergames_dataset!$G$11:$G$16</c:f>
              <c:strCache>
                <c:ptCount val="5"/>
                <c:pt idx="0">
                  <c:v>South America</c:v>
                </c:pt>
                <c:pt idx="1">
                  <c:v>Australia</c:v>
                </c:pt>
                <c:pt idx="2">
                  <c:v>Asia</c:v>
                </c:pt>
                <c:pt idx="3">
                  <c:v>North America</c:v>
                </c:pt>
                <c:pt idx="4">
                  <c:v>Europe</c:v>
                </c:pt>
              </c:strCache>
            </c:strRef>
          </c:cat>
          <c:val>
            <c:numRef>
              <c:f>oly_summergames_dataset!$H$11:$H$16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D-4193-85FC-7A5BF30B1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-27"/>
        <c:axId val="783746832"/>
        <c:axId val="783747192"/>
      </c:barChart>
      <c:catAx>
        <c:axId val="7837468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83747192"/>
        <c:crosses val="autoZero"/>
        <c:auto val="1"/>
        <c:lblAlgn val="ctr"/>
        <c:lblOffset val="100"/>
        <c:noMultiLvlLbl val="0"/>
      </c:catAx>
      <c:valAx>
        <c:axId val="783747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837468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[module01-output.xlsx]oly_summergames_dataset!PivotTable1</c:name>
    <c:fmtId val="31"/>
  </c:pivotSource>
  <c:chart>
    <c:autoTitleDeleted val="1"/>
    <c:pivotFmts>
      <c:pivotFmt>
        <c:idx val="0"/>
        <c:spPr>
          <a:solidFill>
            <a:schemeClr val="accent1"/>
          </a:solidFill>
          <a:ln w="63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2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63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10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6350">
            <a:noFill/>
          </a:ln>
          <a:effectLst/>
        </c:spPr>
      </c:pivotFmt>
      <c:pivotFmt>
        <c:idx val="12"/>
        <c:spPr>
          <a:solidFill>
            <a:schemeClr val="accent1"/>
          </a:solidFill>
          <a:ln w="63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6350">
            <a:noFill/>
          </a:ln>
          <a:effectLst/>
        </c:spPr>
        <c:dLbl>
          <c:idx val="0"/>
          <c:layout>
            <c:manualLayout>
              <c:x val="-0.159942331152268"/>
              <c:y val="-3.09930796830816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6350">
            <a:noFill/>
          </a:ln>
          <a:effectLst/>
        </c:spPr>
        <c:dLbl>
          <c:idx val="0"/>
          <c:layout>
            <c:manualLayout>
              <c:x val="0.12781835369170402"/>
              <c:y val="-8.97922178711259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6350">
            <a:noFill/>
          </a:ln>
          <a:effectLst/>
        </c:spPr>
        <c:dLbl>
          <c:idx val="0"/>
          <c:layout>
            <c:manualLayout>
              <c:x val="0.12753977935856606"/>
              <c:y val="0.121312511845239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6350">
            <a:noFill/>
          </a:ln>
          <a:effectLst/>
        </c:spPr>
        <c:dLbl>
          <c:idx val="0"/>
          <c:layout>
            <c:manualLayout>
              <c:x val="7.6288439297200528E-2"/>
              <c:y val="0.19810382669106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6350">
            <a:noFill/>
          </a:ln>
          <a:effectLst/>
        </c:spPr>
        <c:dLbl>
          <c:idx val="0"/>
          <c:layout>
            <c:manualLayout>
              <c:x val="2.2765728227633519E-2"/>
              <c:y val="0.1929352565746247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effectLst>
                    <a:outerShdw blurRad="50800" dist="38100" dir="18900000" algn="bl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oly_summergames_dataset!$H$2</c:f>
              <c:strCache>
                <c:ptCount val="1"/>
                <c:pt idx="0">
                  <c:v>Total</c:v>
                </c:pt>
              </c:strCache>
            </c:strRef>
          </c:tx>
          <c:spPr>
            <a:ln w="635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8-4D53-B1A5-63BBF27A6B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18-4D53-B1A5-63BBF27A6B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18-4D53-B1A5-63BBF27A6B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18-4D53-B1A5-63BBF27A6B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18-4D53-B1A5-63BBF27A6BF7}"/>
              </c:ext>
            </c:extLst>
          </c:dPt>
          <c:dLbls>
            <c:dLbl>
              <c:idx val="0"/>
              <c:layout>
                <c:manualLayout>
                  <c:x val="-0.159942331152268"/>
                  <c:y val="-3.099307968308163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18-4D53-B1A5-63BBF27A6BF7}"/>
                </c:ext>
              </c:extLst>
            </c:dLbl>
            <c:dLbl>
              <c:idx val="1"/>
              <c:layout>
                <c:manualLayout>
                  <c:x val="0.12781835369170402"/>
                  <c:y val="-8.979221787112595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18-4D53-B1A5-63BBF27A6BF7}"/>
                </c:ext>
              </c:extLst>
            </c:dLbl>
            <c:dLbl>
              <c:idx val="2"/>
              <c:layout>
                <c:manualLayout>
                  <c:x val="0.12753977935856606"/>
                  <c:y val="0.121312511845239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18-4D53-B1A5-63BBF27A6BF7}"/>
                </c:ext>
              </c:extLst>
            </c:dLbl>
            <c:dLbl>
              <c:idx val="3"/>
              <c:layout>
                <c:manualLayout>
                  <c:x val="7.6288439297200528E-2"/>
                  <c:y val="0.198103826691068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18-4D53-B1A5-63BBF27A6BF7}"/>
                </c:ext>
              </c:extLst>
            </c:dLbl>
            <c:dLbl>
              <c:idx val="4"/>
              <c:layout>
                <c:manualLayout>
                  <c:x val="2.2765728227633519E-2"/>
                  <c:y val="0.1929352565746247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18-4D53-B1A5-63BBF27A6B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ln w="3175">
                      <a:noFill/>
                    </a:ln>
                    <a:solidFill>
                      <a:schemeClr val="bg1"/>
                    </a:solidFill>
                    <a:effectLst>
                      <a:outerShdw blurRad="50800" dist="38100" dir="18900000" algn="bl" rotWithShape="0">
                        <a:prstClr val="black">
                          <a:alpha val="40000"/>
                        </a:prst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oly_summergames_dataset!$G$3:$G$8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oly_summergames_dataset!$H$3:$H$8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18-4D53-B1A5-63BBF27A6B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43963254593189"/>
          <c:y val="0.33246391076115489"/>
          <c:w val="0.23327207338519304"/>
          <c:h val="0.38686653164227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[module01-output.xlsx]oly_summergames_dataset!PivotTable1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  <a:tailEnd type="oval"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  <a:tailEnd type="oval"/>
          </a:ln>
          <a:effectLst/>
        </c:spPr>
        <c:marker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  <c:spPr>
            <a:solidFill>
              <a:schemeClr val="bg1"/>
            </a:solidFill>
            <a:ln w="34925"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  <a:tailEnd type="oval"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oly_summergames_dataset!$H$2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49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dPt>
            <c:idx val="0"/>
            <c:marker>
              <c:symbol val="circle"/>
              <c:size val="7"/>
              <c:spPr>
                <a:solidFill>
                  <a:schemeClr val="bg1"/>
                </a:solidFill>
                <a:ln w="34925"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>
                  <a:outerShdw blurRad="63500" sx="102000" sy="102000" algn="ctr" rotWithShape="0">
                    <a:prstClr val="black">
                      <a:alpha val="40000"/>
                    </a:prstClr>
                  </a:outerShdw>
                </a:effectLst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  <a:tailEnd type="oval"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72-4B65-8458-2F81BB809786}"/>
              </c:ext>
            </c:extLst>
          </c:dPt>
          <c:cat>
            <c:strRef>
              <c:f>oly_summergames_dataset!$G$3:$G$8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oly_summergames_dataset!$H$3:$H$8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2-4B65-8458-2F81BB809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725968"/>
        <c:axId val="650676944"/>
      </c:lineChart>
      <c:catAx>
        <c:axId val="71672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650676944"/>
        <c:crosses val="autoZero"/>
        <c:auto val="1"/>
        <c:lblAlgn val="ctr"/>
        <c:lblOffset val="100"/>
        <c:noMultiLvlLbl val="0"/>
      </c:catAx>
      <c:valAx>
        <c:axId val="6506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167259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oly_summergames_dataset!$G$20:$G$24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oly_summergames_dataset!$H$20:$H$24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8-41FA-B5B0-1F0E4294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overlap val="-27"/>
        <c:axId val="812868696"/>
        <c:axId val="812866896"/>
      </c:barChart>
      <c:lineChart>
        <c:grouping val="standard"/>
        <c:varyColors val="0"/>
        <c:ser>
          <c:idx val="1"/>
          <c:order val="1"/>
          <c:tx>
            <c:strRef>
              <c:f>oly_summergames_dataset!$G$20:$G$24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349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val>
            <c:numRef>
              <c:f>oly_summergames_dataset!$H$20:$H$24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8-41FA-B5B0-1F0E4294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868696"/>
        <c:axId val="812866896"/>
      </c:lineChart>
      <c:catAx>
        <c:axId val="812868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12866896"/>
        <c:crosses val="autoZero"/>
        <c:auto val="1"/>
        <c:lblAlgn val="ctr"/>
        <c:lblOffset val="100"/>
        <c:noMultiLvlLbl val="0"/>
      </c:catAx>
      <c:valAx>
        <c:axId val="8128668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812868696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[module01-output.xlsx]oly_wintergames_dataset!PivotTable4</c:name>
    <c:fmtId val="5"/>
  </c:pivotSource>
  <c:chart>
    <c:autoTitleDeleted val="1"/>
    <c:pivotFmts>
      <c:pivotFmt>
        <c:idx val="0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oly_wintergames_dataset!$H$2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oly_wintergames_dataset!$G$3:$G$6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</c:strCache>
            </c:strRef>
          </c:cat>
          <c:val>
            <c:numRef>
              <c:f>oly_wintergames_dataset!$H$3:$H$6</c:f>
              <c:numCache>
                <c:formatCode>General</c:formatCode>
                <c:ptCount val="3"/>
                <c:pt idx="0">
                  <c:v>14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F1C-9F99-1A2B2BEE0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-27"/>
        <c:axId val="539353896"/>
        <c:axId val="539354256"/>
      </c:barChart>
      <c:catAx>
        <c:axId val="53935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4256"/>
        <c:crosses val="autoZero"/>
        <c:auto val="1"/>
        <c:lblAlgn val="ctr"/>
        <c:lblOffset val="100"/>
        <c:noMultiLvlLbl val="0"/>
      </c:catAx>
      <c:valAx>
        <c:axId val="5393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389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[module01-output.xlsx]oly_wintergames_dataset!PivotTable8</c:name>
    <c:fmtId val="3"/>
  </c:pivotSource>
  <c:chart>
    <c:autoTitleDeleted val="1"/>
    <c:pivotFmts>
      <c:pivotFmt>
        <c:idx val="0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oly_wintergames_dataset!$H$8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oly_wintergames_dataset!$G$9:$G$12</c:f>
              <c:strCache>
                <c:ptCount val="3"/>
                <c:pt idx="0">
                  <c:v>Asia</c:v>
                </c:pt>
                <c:pt idx="1">
                  <c:v>North America</c:v>
                </c:pt>
                <c:pt idx="2">
                  <c:v>Europe</c:v>
                </c:pt>
              </c:strCache>
            </c:strRef>
          </c:cat>
          <c:val>
            <c:numRef>
              <c:f>oly_wintergames_dataset!$H$9:$H$12</c:f>
              <c:numCache>
                <c:formatCode>General</c:formatCode>
                <c:ptCount val="3"/>
                <c:pt idx="0">
                  <c:v>3</c:v>
                </c:pt>
                <c:pt idx="1">
                  <c:v>6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B-4A26-A22E-27F62A127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axId val="539351376"/>
        <c:axId val="539356776"/>
      </c:barChart>
      <c:catAx>
        <c:axId val="53935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6776"/>
        <c:crosses val="autoZero"/>
        <c:auto val="1"/>
        <c:lblAlgn val="ctr"/>
        <c:lblOffset val="100"/>
        <c:noMultiLvlLbl val="0"/>
      </c:catAx>
      <c:valAx>
        <c:axId val="539356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539351376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[module01-output.xlsx]oly_wintergames_dataset!PivotTable4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oly_wintergames_dataset!$H$2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F6-4BA7-A32F-4B13D4BCB684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F6-4BA7-A32F-4B13D4BCB684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F6-4BA7-A32F-4B13D4BCB6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effectLst>
                      <a:outerShdw blurRad="50800" dist="38100" dir="5400000" algn="t" rotWithShape="0">
                        <a:prstClr val="black">
                          <a:alpha val="40000"/>
                        </a:prstClr>
                      </a:outerShdw>
                    </a:effectLst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oly_wintergames_dataset!$G$3:$G$6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</c:strCache>
            </c:strRef>
          </c:cat>
          <c:val>
            <c:numRef>
              <c:f>oly_wintergames_dataset!$H$3:$H$6</c:f>
              <c:numCache>
                <c:formatCode>General</c:formatCode>
                <c:ptCount val="3"/>
                <c:pt idx="0">
                  <c:v>14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F6-4BA7-A32F-4B13D4BCB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20332096216284"/>
          <c:y val="0.64101715662974823"/>
          <c:w val="0.23461422529694129"/>
          <c:h val="0.23303738902088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[module01-output.xlsx]combine_olympics!PivotTable6</c:name>
    <c:fmtId val="1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>
            <a:outerShdw blurRad="50800" dist="38100" dir="18900000" algn="b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50231624272772E-2"/>
          <c:y val="3.9785415071239248E-2"/>
          <c:w val="0.92836702325169895"/>
          <c:h val="0.79836028270712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combine_olympics!$I$2:$I$3</c:f>
              <c:strCache>
                <c:ptCount val="1"/>
                <c:pt idx="0">
                  <c:v>Summer Games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combine_olympics!$H$4:$H$9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combine_olympics!$I$4:$I$9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C-45CD-AF9E-C7A7294CAB63}"/>
            </c:ext>
          </c:extLst>
        </c:ser>
        <c:ser>
          <c:idx val="1"/>
          <c:order val="1"/>
          <c:tx>
            <c:strRef>
              <c:f>combine_olympics!$J$2:$J$3</c:f>
              <c:strCache>
                <c:ptCount val="1"/>
                <c:pt idx="0">
                  <c:v>Winter Games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38100" dir="18900000" algn="b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combine_olympics!$H$4:$H$9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combine_olympics!$J$4:$J$9</c:f>
              <c:numCache>
                <c:formatCode>General</c:formatCode>
                <c:ptCount val="5"/>
                <c:pt idx="0">
                  <c:v>14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C-45CD-AF9E-C7A7294CA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-27"/>
        <c:axId val="796954384"/>
        <c:axId val="796950424"/>
      </c:barChart>
      <c:catAx>
        <c:axId val="7969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96950424"/>
        <c:crosses val="autoZero"/>
        <c:auto val="1"/>
        <c:lblAlgn val="ctr"/>
        <c:lblOffset val="100"/>
        <c:noMultiLvlLbl val="0"/>
      </c:catAx>
      <c:valAx>
        <c:axId val="79695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969543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07272846563132"/>
          <c:y val="0.92879834661270055"/>
          <c:w val="0.36476604738923768"/>
          <c:h val="5.3850712705730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avgtemp_dataset!$C$2</c:f>
              <c:strCache>
                <c:ptCount val="1"/>
                <c:pt idx="0">
                  <c:v>Average 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avgtemp_dataset!$B$3:$B$14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avgtemp_dataset!$C$3:$C$14</c:f>
              <c:numCache>
                <c:formatCode>General</c:formatCode>
                <c:ptCount val="12"/>
                <c:pt idx="0">
                  <c:v>69</c:v>
                </c:pt>
                <c:pt idx="1">
                  <c:v>73</c:v>
                </c:pt>
                <c:pt idx="2">
                  <c:v>78</c:v>
                </c:pt>
                <c:pt idx="3">
                  <c:v>86</c:v>
                </c:pt>
                <c:pt idx="4">
                  <c:v>95</c:v>
                </c:pt>
                <c:pt idx="5">
                  <c:v>103</c:v>
                </c:pt>
                <c:pt idx="6">
                  <c:v>105</c:v>
                </c:pt>
                <c:pt idx="7">
                  <c:v>103</c:v>
                </c:pt>
                <c:pt idx="8">
                  <c:v>100</c:v>
                </c:pt>
                <c:pt idx="9">
                  <c:v>89</c:v>
                </c:pt>
                <c:pt idx="10">
                  <c:v>78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1-41DB-AF3A-C6FE37759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7711935"/>
        <c:axId val="22797295"/>
      </c:lineChart>
      <c:catAx>
        <c:axId val="78771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sz="1000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9987996454998629"/>
              <c:y val="0.88525918106056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22797295"/>
        <c:crosses val="autoZero"/>
        <c:auto val="1"/>
        <c:lblAlgn val="ctr"/>
        <c:lblOffset val="100"/>
        <c:noMultiLvlLbl val="0"/>
      </c:catAx>
      <c:valAx>
        <c:axId val="22797295"/>
        <c:scaling>
          <c:orientation val="minMax"/>
          <c:max val="109"/>
          <c:min val="60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sz="1000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Average High Temperature</a:t>
                </a:r>
              </a:p>
            </c:rich>
          </c:tx>
          <c:layout>
            <c:manualLayout>
              <c:xMode val="edge"/>
              <c:yMode val="edge"/>
              <c:x val="1.2403988732099433E-2"/>
              <c:y val="0.210151837016908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7877119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[module01-output.xlsx]savings_dataset!PivotTable1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savings_dataset!$G$15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savings_dataset!$F$16:$F$26</c:f>
              <c:strCache>
                <c:ptCount val="1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</c:strCache>
            </c:strRef>
          </c:cat>
          <c:val>
            <c:numRef>
              <c:f>savings_dataset!$G$16:$G$26</c:f>
              <c:numCache>
                <c:formatCode>General</c:formatCode>
                <c:ptCount val="10"/>
                <c:pt idx="0">
                  <c:v>5500</c:v>
                </c:pt>
                <c:pt idx="1">
                  <c:v>11000</c:v>
                </c:pt>
                <c:pt idx="2">
                  <c:v>16500</c:v>
                </c:pt>
                <c:pt idx="3">
                  <c:v>22000</c:v>
                </c:pt>
                <c:pt idx="4">
                  <c:v>27500</c:v>
                </c:pt>
                <c:pt idx="5">
                  <c:v>33000</c:v>
                </c:pt>
                <c:pt idx="6">
                  <c:v>38500</c:v>
                </c:pt>
                <c:pt idx="7">
                  <c:v>44000</c:v>
                </c:pt>
                <c:pt idx="8">
                  <c:v>49500</c:v>
                </c:pt>
                <c:pt idx="9">
                  <c:v>55000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7-4A9D-8BAA-9DE557A69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788975"/>
        <c:axId val="1694003407"/>
      </c:lineChart>
      <c:catAx>
        <c:axId val="169278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4003407"/>
        <c:crosses val="autoZero"/>
        <c:auto val="1"/>
        <c:lblAlgn val="ctr"/>
        <c:lblOffset val="100"/>
        <c:noMultiLvlLbl val="0"/>
      </c:catAx>
      <c:valAx>
        <c:axId val="16940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Savings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2788975"/>
        <c:crosses val="autoZero"/>
        <c:crossBetween val="between"/>
        <c:majorUnit val="150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[module01-output.xlsx]savings_dataset!PivotTable3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circle"/>
          <c:size val="7"/>
          <c:spPr>
            <a:solidFill>
              <a:schemeClr val="bg1"/>
            </a:solidFill>
            <a:ln w="25400">
              <a:solidFill>
                <a:schemeClr val="accent2"/>
              </a:solidFill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savings_dataset!$G$2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7"/>
            <c:spPr>
              <a:solidFill>
                <a:schemeClr val="bg1"/>
              </a:solidFill>
              <a:ln w="25400">
                <a:solidFill>
                  <a:schemeClr val="accent2"/>
                </a:solidFill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savings_dataset!$F$3:$F$13</c:f>
              <c:strCache>
                <c:ptCount val="10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</c:strCache>
            </c:strRef>
          </c:cat>
          <c:val>
            <c:numRef>
              <c:f>savings_dataset!$G$3:$G$13</c:f>
              <c:numCache>
                <c:formatCode>General</c:formatCode>
                <c:ptCount val="10"/>
                <c:pt idx="0">
                  <c:v>5500</c:v>
                </c:pt>
                <c:pt idx="1">
                  <c:v>5500</c:v>
                </c:pt>
                <c:pt idx="2">
                  <c:v>5500</c:v>
                </c:pt>
                <c:pt idx="3">
                  <c:v>5500</c:v>
                </c:pt>
                <c:pt idx="4">
                  <c:v>5500</c:v>
                </c:pt>
                <c:pt idx="5">
                  <c:v>5500</c:v>
                </c:pt>
                <c:pt idx="6">
                  <c:v>5500</c:v>
                </c:pt>
                <c:pt idx="7">
                  <c:v>5500</c:v>
                </c:pt>
                <c:pt idx="8">
                  <c:v>5500</c:v>
                </c:pt>
                <c:pt idx="9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80-4103-A0E5-0575C2A72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2788975"/>
        <c:axId val="1694003407"/>
      </c:lineChart>
      <c:catAx>
        <c:axId val="169278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4003407"/>
        <c:crosses val="autoZero"/>
        <c:auto val="1"/>
        <c:lblAlgn val="ctr"/>
        <c:lblOffset val="100"/>
        <c:noMultiLvlLbl val="0"/>
      </c:catAx>
      <c:valAx>
        <c:axId val="1694003407"/>
        <c:scaling>
          <c:orientation val="minMax"/>
          <c:max val="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PH" b="1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</a:rPr>
                  <a:t>Savings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92788975"/>
        <c:crosses val="autoZero"/>
        <c:crossBetween val="between"/>
        <c:majorUnit val="1100"/>
        <c:minorUnit val="11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230392</xdr:colOff>
      <xdr:row>0</xdr:row>
      <xdr:rowOff>175484</xdr:rowOff>
    </xdr:from>
    <xdr:to>
      <xdr:col>16</xdr:col>
      <xdr:colOff>250563</xdr:colOff>
      <xdr:row>15</xdr:row>
      <xdr:rowOff>175484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5F451-E006-44C4-911C-D83E149BC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595705</xdr:colOff>
      <xdr:row>0</xdr:row>
      <xdr:rowOff>171898</xdr:rowOff>
    </xdr:from>
    <xdr:to>
      <xdr:col>24</xdr:col>
      <xdr:colOff>290905</xdr:colOff>
      <xdr:row>15</xdr:row>
      <xdr:rowOff>171898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07026-380C-4AC9-99DC-8B0C9B21F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1184</xdr:colOff>
      <xdr:row>16</xdr:row>
      <xdr:rowOff>178719</xdr:rowOff>
    </xdr:from>
    <xdr:to>
      <xdr:col>15</xdr:col>
      <xdr:colOff>130724</xdr:colOff>
      <xdr:row>32</xdr:row>
      <xdr:rowOff>14889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1B7E54-EA36-4592-86D5-A613D73106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592894</xdr:colOff>
      <xdr:row>16</xdr:row>
      <xdr:rowOff>173794</xdr:rowOff>
    </xdr:from>
    <xdr:to>
      <xdr:col>24</xdr:col>
      <xdr:colOff>251518</xdr:colOff>
      <xdr:row>31</xdr:row>
      <xdr:rowOff>172718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AB7C33-0BD8-40C0-B0B1-CA5E85678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238013</xdr:colOff>
      <xdr:row>33</xdr:row>
      <xdr:rowOff>1568</xdr:rowOff>
    </xdr:from>
    <xdr:to>
      <xdr:col>16</xdr:col>
      <xdr:colOff>264190</xdr:colOff>
      <xdr:row>48</xdr:row>
      <xdr:rowOff>1568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101409-D66D-56A7-6C50-CF2140F52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623</xdr:colOff>
      <xdr:row>0</xdr:row>
      <xdr:rowOff>170396</xdr:rowOff>
    </xdr:from>
    <xdr:to>
      <xdr:col>16</xdr:col>
      <xdr:colOff>265082</xdr:colOff>
      <xdr:row>15</xdr:row>
      <xdr:rowOff>170329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B5F2F-3C27-4BD2-9795-261F5698A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600227</xdr:colOff>
      <xdr:row>0</xdr:row>
      <xdr:rowOff>174100</xdr:rowOff>
    </xdr:from>
    <xdr:to>
      <xdr:col>24</xdr:col>
      <xdr:colOff>299909</xdr:colOff>
      <xdr:row>15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E06467-2406-4F26-BA5B-504F8C339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4743</xdr:colOff>
      <xdr:row>16</xdr:row>
      <xdr:rowOff>164077</xdr:rowOff>
    </xdr:from>
    <xdr:to>
      <xdr:col>15</xdr:col>
      <xdr:colOff>112618</xdr:colOff>
      <xdr:row>31</xdr:row>
      <xdr:rowOff>164077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DBE6C8-9501-4689-A5DE-1434FF86B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560</xdr:colOff>
      <xdr:row>0</xdr:row>
      <xdr:rowOff>170328</xdr:rowOff>
    </xdr:from>
    <xdr:to>
      <xdr:col>21</xdr:col>
      <xdr:colOff>199293</xdr:colOff>
      <xdr:row>20</xdr:row>
      <xdr:rowOff>47511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FC5B6-C119-432D-93CC-6DAB601CE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4761</xdr:colOff>
      <xdr:row>0</xdr:row>
      <xdr:rowOff>180973</xdr:rowOff>
    </xdr:from>
    <xdr:to>
      <xdr:col>11</xdr:col>
      <xdr:colOff>371474</xdr:colOff>
      <xdr:row>16</xdr:row>
      <xdr:rowOff>132250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15FD36-F690-4239-9A36-021415DE5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608605</xdr:colOff>
      <xdr:row>17</xdr:row>
      <xdr:rowOff>0</xdr:rowOff>
    </xdr:from>
    <xdr:to>
      <xdr:col>15</xdr:col>
      <xdr:colOff>303805</xdr:colOff>
      <xdr:row>31</xdr:row>
      <xdr:rowOff>185530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032700-C179-4E73-9553-080C00DF1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1</xdr:row>
      <xdr:rowOff>3313</xdr:rowOff>
    </xdr:from>
    <xdr:to>
      <xdr:col>15</xdr:col>
      <xdr:colOff>304801</xdr:colOff>
      <xdr:row>15</xdr:row>
      <xdr:rowOff>149086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FDF5E6-D5D9-8FB0-264B-2BE299928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cr0zeath" refreshedDate="46048.055421296296" createdVersion="8" refreshedVersion="8" minRefreshableVersion="3" recordCount="28" xr:uid="{6D87523E-9FA6-4ED7-B67B-96385F67F44A}">
  <cacheSource type="worksheet">
    <worksheetSource name="Table1"/>
  </cacheSource>
  <cacheFields count="4">
    <cacheField name="Games" numFmtId="0">
      <sharedItems/>
    </cacheField>
    <cacheField name="Year" numFmtId="0">
      <sharedItems containsSemiMixedTypes="0" containsString="0" containsNumber="1" containsInteger="1" minValue="1896" maxValue="2016"/>
    </cacheField>
    <cacheField name="City, Country" numFmtId="0">
      <sharedItems count="23">
        <s v="Athens, Greece"/>
        <s v="Paris, France"/>
        <s v="St. Louis, United States"/>
        <s v="London, United Kingdom"/>
        <s v="Stockholm, Sweden"/>
        <s v="Antwerp, Belgium"/>
        <s v="Amsterdam, Netherlands"/>
        <s v="Los Angeles, United States"/>
        <s v="Berlin, Germany"/>
        <s v="Helsinki, Finland"/>
        <s v="Melbourne, Australia"/>
        <s v="Rome, Italy"/>
        <s v="Tokyo, Japan"/>
        <s v="Mexico City, Mexico"/>
        <s v="Munich, West Germany"/>
        <s v="Montreal, Canada"/>
        <s v="Moscow, Soviet Union"/>
        <s v="Seoul, South Korea"/>
        <s v="Barcelona, Spain"/>
        <s v="Atlanta, United States"/>
        <s v="Sydney, Australia"/>
        <s v="Beijing, China"/>
        <s v="Rio de Janeiro, Brazil"/>
      </sharedItems>
    </cacheField>
    <cacheField name="Continent" numFmtId="0">
      <sharedItems count="5">
        <s v="Europe"/>
        <s v="North America"/>
        <s v="Australia"/>
        <s v="Asia"/>
        <s v="South Ame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cr0zeath" refreshedDate="46048.24453935185" createdVersion="8" refreshedVersion="8" minRefreshableVersion="3" recordCount="23" xr:uid="{33E38DDF-AAC3-455D-9917-341A9A2C44E5}">
  <cacheSource type="worksheet">
    <worksheetSource name="Table2"/>
  </cacheSource>
  <cacheFields count="4">
    <cacheField name="Game" numFmtId="0">
      <sharedItems/>
    </cacheField>
    <cacheField name="Year" numFmtId="0">
      <sharedItems containsSemiMixedTypes="0" containsString="0" containsNumber="1" containsInteger="1" minValue="1924" maxValue="2018"/>
    </cacheField>
    <cacheField name="City, County" numFmtId="0">
      <sharedItems/>
    </cacheField>
    <cacheField name="Continent" numFmtId="0">
      <sharedItems count="3">
        <s v="Europe"/>
        <s v="North America"/>
        <s v="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cr0zeath" refreshedDate="46048.246433449072" createdVersion="8" refreshedVersion="8" minRefreshableVersion="3" recordCount="51" xr:uid="{42FB454A-4B20-4469-832F-3D73EB5A8EA4}">
  <cacheSource type="worksheet">
    <worksheetSource name="Table4"/>
  </cacheSource>
  <cacheFields count="5">
    <cacheField name="Game" numFmtId="0">
      <sharedItems/>
    </cacheField>
    <cacheField name="Year" numFmtId="0">
      <sharedItems containsSemiMixedTypes="0" containsString="0" containsNumber="1" containsInteger="1" minValue="1896" maxValue="2018"/>
    </cacheField>
    <cacheField name="City, County" numFmtId="0">
      <sharedItems/>
    </cacheField>
    <cacheField name="Continent" numFmtId="0">
      <sharedItems count="5">
        <s v="Europe"/>
        <s v="North America"/>
        <s v="Asia"/>
        <s v="Australia"/>
        <s v="South America"/>
      </sharedItems>
    </cacheField>
    <cacheField name="Season" numFmtId="0">
      <sharedItems count="2">
        <s v="Winter Games"/>
        <s v="Summer Gam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S" refreshedDate="46062.574587268522" createdVersion="6" refreshedVersion="6" minRefreshableVersion="3" recordCount="10" xr:uid="{D4F7A0CF-697C-4837-B965-FEDE9FAA2A3B}">
  <cacheSource type="worksheet">
    <worksheetSource name="Table5"/>
  </cacheSource>
  <cacheFields count="3">
    <cacheField name="Age" numFmtId="0">
      <sharedItems containsSemiMixedTypes="0" containsString="0" containsNumber="1" containsInteger="1" minValue="30" maxValue="39" count="10">
        <n v="30"/>
        <n v="31"/>
        <n v="32"/>
        <n v="33"/>
        <n v="34"/>
        <n v="35"/>
        <n v="36"/>
        <n v="37"/>
        <n v="38"/>
        <n v="39"/>
      </sharedItems>
    </cacheField>
    <cacheField name="Investment" numFmtId="164">
      <sharedItems containsSemiMixedTypes="0" containsString="0" containsNumber="1" containsInteger="1" minValue="5500" maxValue="5500"/>
    </cacheField>
    <cacheField name="Total" numFmtId="164">
      <sharedItems containsSemiMixedTypes="0" containsString="0" containsNumber="1" containsInteger="1" minValue="55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I"/>
    <n v="1896"/>
    <x v="0"/>
    <x v="0"/>
  </r>
  <r>
    <s v="II"/>
    <n v="1900"/>
    <x v="1"/>
    <x v="0"/>
  </r>
  <r>
    <s v="III"/>
    <n v="1904"/>
    <x v="2"/>
    <x v="1"/>
  </r>
  <r>
    <s v="IV"/>
    <n v="1908"/>
    <x v="3"/>
    <x v="0"/>
  </r>
  <r>
    <s v="V"/>
    <n v="1912"/>
    <x v="4"/>
    <x v="0"/>
  </r>
  <r>
    <s v="VII"/>
    <n v="1920"/>
    <x v="5"/>
    <x v="0"/>
  </r>
  <r>
    <s v="VIII"/>
    <n v="1924"/>
    <x v="1"/>
    <x v="0"/>
  </r>
  <r>
    <s v="IX"/>
    <n v="1928"/>
    <x v="6"/>
    <x v="0"/>
  </r>
  <r>
    <s v="X"/>
    <n v="1932"/>
    <x v="7"/>
    <x v="1"/>
  </r>
  <r>
    <s v="XI"/>
    <n v="1936"/>
    <x v="8"/>
    <x v="0"/>
  </r>
  <r>
    <s v="XIV"/>
    <n v="1948"/>
    <x v="3"/>
    <x v="0"/>
  </r>
  <r>
    <s v="XV"/>
    <n v="1952"/>
    <x v="9"/>
    <x v="0"/>
  </r>
  <r>
    <s v="XVI"/>
    <n v="1956"/>
    <x v="10"/>
    <x v="2"/>
  </r>
  <r>
    <s v="XVII"/>
    <n v="1960"/>
    <x v="11"/>
    <x v="0"/>
  </r>
  <r>
    <s v="XVIII"/>
    <n v="1964"/>
    <x v="12"/>
    <x v="3"/>
  </r>
  <r>
    <s v="XIX"/>
    <n v="1968"/>
    <x v="13"/>
    <x v="1"/>
  </r>
  <r>
    <s v="XX"/>
    <n v="1972"/>
    <x v="14"/>
    <x v="0"/>
  </r>
  <r>
    <s v="XXI"/>
    <n v="1976"/>
    <x v="15"/>
    <x v="1"/>
  </r>
  <r>
    <s v="XXII"/>
    <n v="1980"/>
    <x v="16"/>
    <x v="0"/>
  </r>
  <r>
    <s v="XXIII"/>
    <n v="1984"/>
    <x v="7"/>
    <x v="1"/>
  </r>
  <r>
    <s v="XXIV"/>
    <n v="1988"/>
    <x v="17"/>
    <x v="3"/>
  </r>
  <r>
    <s v="XXV"/>
    <n v="1992"/>
    <x v="18"/>
    <x v="0"/>
  </r>
  <r>
    <s v="XXVI"/>
    <n v="1996"/>
    <x v="19"/>
    <x v="1"/>
  </r>
  <r>
    <s v="XXVII"/>
    <n v="2000"/>
    <x v="20"/>
    <x v="2"/>
  </r>
  <r>
    <s v="XXVIII"/>
    <n v="2004"/>
    <x v="0"/>
    <x v="0"/>
  </r>
  <r>
    <s v="XXIX"/>
    <n v="2008"/>
    <x v="21"/>
    <x v="3"/>
  </r>
  <r>
    <s v="XXX"/>
    <n v="2012"/>
    <x v="3"/>
    <x v="0"/>
  </r>
  <r>
    <s v="XXXI"/>
    <n v="2016"/>
    <x v="2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I"/>
    <n v="1924"/>
    <s v="Chamonix, France"/>
    <x v="0"/>
  </r>
  <r>
    <s v="II"/>
    <n v="1928"/>
    <s v="St. Moritz, Switzerland"/>
    <x v="0"/>
  </r>
  <r>
    <s v="III"/>
    <n v="1932"/>
    <s v="Lake Placid, United States"/>
    <x v="1"/>
  </r>
  <r>
    <s v="IV"/>
    <n v="1936"/>
    <s v="Garmisch-Partenkirchen, Germany"/>
    <x v="0"/>
  </r>
  <r>
    <s v="V"/>
    <n v="1948"/>
    <s v="St. Moritz, Switzerland"/>
    <x v="0"/>
  </r>
  <r>
    <s v="VI"/>
    <n v="1952"/>
    <s v="Oslo, Norway"/>
    <x v="0"/>
  </r>
  <r>
    <s v="VII"/>
    <n v="1956"/>
    <s v="Cortina d'Ampezzo, Italy"/>
    <x v="0"/>
  </r>
  <r>
    <s v="VIII"/>
    <n v="1960"/>
    <s v="Squaw Valley, United States"/>
    <x v="1"/>
  </r>
  <r>
    <s v="IX"/>
    <n v="1964"/>
    <s v="Innsbruck, Austria"/>
    <x v="0"/>
  </r>
  <r>
    <s v="X"/>
    <n v="1968"/>
    <s v="Grenoble, France"/>
    <x v="0"/>
  </r>
  <r>
    <s v="XI"/>
    <n v="1972"/>
    <s v="Sapporo, Japan"/>
    <x v="2"/>
  </r>
  <r>
    <s v="XII"/>
    <n v="1976"/>
    <s v="Innsbruck, Austria"/>
    <x v="0"/>
  </r>
  <r>
    <s v="XIII"/>
    <n v="1980"/>
    <s v="Lake Placid, United States"/>
    <x v="1"/>
  </r>
  <r>
    <s v="XIV"/>
    <n v="1984"/>
    <s v="Sarajevo, Yugoslavia"/>
    <x v="0"/>
  </r>
  <r>
    <s v="XV"/>
    <n v="1988"/>
    <s v="Calgary, Canada"/>
    <x v="1"/>
  </r>
  <r>
    <s v="XVI"/>
    <n v="1992"/>
    <s v="Albertville, France"/>
    <x v="0"/>
  </r>
  <r>
    <s v="XVII"/>
    <n v="1994"/>
    <s v="Lillehammer, Norway"/>
    <x v="0"/>
  </r>
  <r>
    <s v="XVIII"/>
    <n v="1998"/>
    <s v="Nagano, Japan"/>
    <x v="2"/>
  </r>
  <r>
    <s v="XIX"/>
    <n v="2002"/>
    <s v="Salt Lake City, United States"/>
    <x v="1"/>
  </r>
  <r>
    <s v="XX"/>
    <n v="2006"/>
    <s v="Turin, Italy"/>
    <x v="0"/>
  </r>
  <r>
    <s v="XXI"/>
    <n v="2010"/>
    <s v="Vancouver, Canada"/>
    <x v="1"/>
  </r>
  <r>
    <s v="XXII"/>
    <n v="2014"/>
    <s v="Sochi, Russia"/>
    <x v="0"/>
  </r>
  <r>
    <s v="XXIII"/>
    <n v="2018"/>
    <s v="Pyeongchang, South Korea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s v="I"/>
    <n v="1924"/>
    <s v="Chamonix, France"/>
    <x v="0"/>
    <x v="0"/>
  </r>
  <r>
    <s v="II"/>
    <n v="1928"/>
    <s v="St. Moritz, Switzerland"/>
    <x v="0"/>
    <x v="0"/>
  </r>
  <r>
    <s v="III"/>
    <n v="1932"/>
    <s v="Lake Placid, United States"/>
    <x v="1"/>
    <x v="0"/>
  </r>
  <r>
    <s v="IV"/>
    <n v="1936"/>
    <s v="Garmisch-Partenkirchen, Germany"/>
    <x v="0"/>
    <x v="0"/>
  </r>
  <r>
    <s v="V"/>
    <n v="1948"/>
    <s v="St. Moritz, Switzerland"/>
    <x v="0"/>
    <x v="0"/>
  </r>
  <r>
    <s v="VI"/>
    <n v="1952"/>
    <s v="Oslo, Norway"/>
    <x v="0"/>
    <x v="0"/>
  </r>
  <r>
    <s v="VII"/>
    <n v="1956"/>
    <s v="Cortina d'Ampezzo, Italy"/>
    <x v="0"/>
    <x v="0"/>
  </r>
  <r>
    <s v="VIII"/>
    <n v="1960"/>
    <s v="Squaw Valley, United States"/>
    <x v="1"/>
    <x v="0"/>
  </r>
  <r>
    <s v="IX"/>
    <n v="1964"/>
    <s v="Innsbruck, Austria"/>
    <x v="0"/>
    <x v="0"/>
  </r>
  <r>
    <s v="X"/>
    <n v="1968"/>
    <s v="Grenoble, France"/>
    <x v="0"/>
    <x v="0"/>
  </r>
  <r>
    <s v="XI"/>
    <n v="1972"/>
    <s v="Sapporo, Japan"/>
    <x v="2"/>
    <x v="0"/>
  </r>
  <r>
    <s v="XII"/>
    <n v="1976"/>
    <s v="Innsbruck, Austria"/>
    <x v="0"/>
    <x v="0"/>
  </r>
  <r>
    <s v="XIII"/>
    <n v="1980"/>
    <s v="Lake Placid, United States"/>
    <x v="1"/>
    <x v="0"/>
  </r>
  <r>
    <s v="XIV"/>
    <n v="1984"/>
    <s v="Sarajevo, Yugoslavia"/>
    <x v="0"/>
    <x v="0"/>
  </r>
  <r>
    <s v="XV"/>
    <n v="1988"/>
    <s v="Calgary, Canada"/>
    <x v="1"/>
    <x v="0"/>
  </r>
  <r>
    <s v="XVI"/>
    <n v="1992"/>
    <s v="Albertville, France"/>
    <x v="0"/>
    <x v="0"/>
  </r>
  <r>
    <s v="XVII"/>
    <n v="1994"/>
    <s v="Lillehammer, Norway"/>
    <x v="0"/>
    <x v="0"/>
  </r>
  <r>
    <s v="XVIII"/>
    <n v="1998"/>
    <s v="Nagano, Japan"/>
    <x v="2"/>
    <x v="0"/>
  </r>
  <r>
    <s v="XIX"/>
    <n v="2002"/>
    <s v="Salt Lake City, United States"/>
    <x v="1"/>
    <x v="0"/>
  </r>
  <r>
    <s v="XX"/>
    <n v="2006"/>
    <s v="Turin, Italy"/>
    <x v="0"/>
    <x v="0"/>
  </r>
  <r>
    <s v="XXI"/>
    <n v="2010"/>
    <s v="Vancouver, Canada"/>
    <x v="1"/>
    <x v="0"/>
  </r>
  <r>
    <s v="XXII"/>
    <n v="2014"/>
    <s v="Sochi, Russia"/>
    <x v="0"/>
    <x v="0"/>
  </r>
  <r>
    <s v="XXIII"/>
    <n v="2018"/>
    <s v="Pyeongchang, South Korea"/>
    <x v="2"/>
    <x v="0"/>
  </r>
  <r>
    <s v="I"/>
    <n v="1896"/>
    <s v="Athens, Greece"/>
    <x v="0"/>
    <x v="1"/>
  </r>
  <r>
    <s v="II"/>
    <n v="1900"/>
    <s v="Paris, France"/>
    <x v="0"/>
    <x v="1"/>
  </r>
  <r>
    <s v="III"/>
    <n v="1904"/>
    <s v="St. Louis, United States"/>
    <x v="1"/>
    <x v="1"/>
  </r>
  <r>
    <s v="IV"/>
    <n v="1908"/>
    <s v="London, United Kingdom"/>
    <x v="0"/>
    <x v="1"/>
  </r>
  <r>
    <s v="V"/>
    <n v="1912"/>
    <s v="Stockholm, Sweden"/>
    <x v="0"/>
    <x v="1"/>
  </r>
  <r>
    <s v="VII"/>
    <n v="1920"/>
    <s v="Antwerp, Belgium"/>
    <x v="0"/>
    <x v="1"/>
  </r>
  <r>
    <s v="VIII"/>
    <n v="1924"/>
    <s v="Paris, France"/>
    <x v="0"/>
    <x v="1"/>
  </r>
  <r>
    <s v="IX"/>
    <n v="1928"/>
    <s v="Amsterdam, Netherlands"/>
    <x v="0"/>
    <x v="1"/>
  </r>
  <r>
    <s v="X"/>
    <n v="1932"/>
    <s v="Los Angeles, United States"/>
    <x v="1"/>
    <x v="1"/>
  </r>
  <r>
    <s v="XI"/>
    <n v="1936"/>
    <s v="Berlin, Germany"/>
    <x v="0"/>
    <x v="1"/>
  </r>
  <r>
    <s v="XIV"/>
    <n v="1948"/>
    <s v="London, United Kingdom"/>
    <x v="0"/>
    <x v="1"/>
  </r>
  <r>
    <s v="XV"/>
    <n v="1952"/>
    <s v="Helsinki, Finland"/>
    <x v="0"/>
    <x v="1"/>
  </r>
  <r>
    <s v="XVI"/>
    <n v="1956"/>
    <s v="Melbourne, Australia"/>
    <x v="3"/>
    <x v="1"/>
  </r>
  <r>
    <s v="XVII"/>
    <n v="1960"/>
    <s v="Rome, Italy"/>
    <x v="0"/>
    <x v="1"/>
  </r>
  <r>
    <s v="XVIII"/>
    <n v="1964"/>
    <s v="Tokyo, Japan"/>
    <x v="2"/>
    <x v="1"/>
  </r>
  <r>
    <s v="XIX"/>
    <n v="1968"/>
    <s v="Mexico City, Mexico"/>
    <x v="1"/>
    <x v="1"/>
  </r>
  <r>
    <s v="XX"/>
    <n v="1972"/>
    <s v="Munich, West Germany"/>
    <x v="0"/>
    <x v="1"/>
  </r>
  <r>
    <s v="XXI"/>
    <n v="1976"/>
    <s v="Montreal, Canada"/>
    <x v="1"/>
    <x v="1"/>
  </r>
  <r>
    <s v="XXII"/>
    <n v="1980"/>
    <s v="Moscow, Soviet Union"/>
    <x v="0"/>
    <x v="1"/>
  </r>
  <r>
    <s v="XXIII"/>
    <n v="1984"/>
    <s v="Los Angeles, United States"/>
    <x v="1"/>
    <x v="1"/>
  </r>
  <r>
    <s v="XXIV"/>
    <n v="1988"/>
    <s v="Seoul, South Korea"/>
    <x v="2"/>
    <x v="1"/>
  </r>
  <r>
    <s v="XXV"/>
    <n v="1992"/>
    <s v="Barcelona, Spain"/>
    <x v="0"/>
    <x v="1"/>
  </r>
  <r>
    <s v="XXVI"/>
    <n v="1996"/>
    <s v="Atlanta, United States"/>
    <x v="1"/>
    <x v="1"/>
  </r>
  <r>
    <s v="XXVII"/>
    <n v="2000"/>
    <s v="Sydney, Australia"/>
    <x v="3"/>
    <x v="1"/>
  </r>
  <r>
    <s v="XXVIII"/>
    <n v="2004"/>
    <s v="Athens, Greece"/>
    <x v="0"/>
    <x v="1"/>
  </r>
  <r>
    <s v="XXIX"/>
    <n v="2008"/>
    <s v="Beijing, China"/>
    <x v="2"/>
    <x v="1"/>
  </r>
  <r>
    <s v="XXX"/>
    <n v="2012"/>
    <s v="London, United Kingdom"/>
    <x v="0"/>
    <x v="1"/>
  </r>
  <r>
    <s v="XXXI"/>
    <n v="2016"/>
    <s v="Rio de Janeiro, Brazil"/>
    <x v="4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5500"/>
    <n v="5500"/>
  </r>
  <r>
    <x v="1"/>
    <n v="5500"/>
    <n v="11000"/>
  </r>
  <r>
    <x v="2"/>
    <n v="5500"/>
    <n v="16500"/>
  </r>
  <r>
    <x v="3"/>
    <n v="5500"/>
    <n v="22000"/>
  </r>
  <r>
    <x v="4"/>
    <n v="5500"/>
    <n v="27500"/>
  </r>
  <r>
    <x v="5"/>
    <n v="5500"/>
    <n v="33000"/>
  </r>
  <r>
    <x v="6"/>
    <n v="5500"/>
    <n v="38500"/>
  </r>
  <r>
    <x v="7"/>
    <n v="5500"/>
    <n v="44000"/>
  </r>
  <r>
    <x v="8"/>
    <n v="5500"/>
    <n v="49500"/>
  </r>
  <r>
    <x v="9"/>
    <n v="5500"/>
    <n v="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71B8F-A4DD-4E63-941E-CDFA24104C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G2:H8" firstHeaderRow="1" firstDataRow="1" firstDataCol="1"/>
  <pivotFields count="4">
    <pivotField showAll="0"/>
    <pivotField showAll="0"/>
    <pivotField showAll="0">
      <items count="24">
        <item x="6"/>
        <item x="5"/>
        <item x="0"/>
        <item x="19"/>
        <item x="18"/>
        <item x="21"/>
        <item x="8"/>
        <item x="9"/>
        <item x="3"/>
        <item x="7"/>
        <item x="10"/>
        <item x="13"/>
        <item x="15"/>
        <item x="16"/>
        <item x="14"/>
        <item x="1"/>
        <item x="22"/>
        <item x="11"/>
        <item x="17"/>
        <item x="2"/>
        <item x="4"/>
        <item x="20"/>
        <item x="12"/>
        <item t="default"/>
      </items>
    </pivotField>
    <pivotField axis="axisRow" dataField="1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Count of Continent" fld="3" subtotal="count" baseField="0" baseItem="0"/>
  </dataFields>
  <chartFormats count="1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8649B-89FB-47BD-98B5-248E7D3256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0:H16" firstHeaderRow="1" firstDataRow="1" firstDataCol="1"/>
  <pivotFields count="4">
    <pivotField showAll="0"/>
    <pivotField showAll="0"/>
    <pivotField showAll="0"/>
    <pivotField axis="axisRow" dataField="1" showAll="0" sortType="a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Continent" fld="3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8AC38-87D2-4732-B6B9-E976DA7F704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2:H6" firstHeaderRow="1" firstDataRow="1" firstDataCol="1"/>
  <pivotFields count="4">
    <pivotField showAll="0"/>
    <pivotField showAll="0"/>
    <pivotField showAll="0"/>
    <pivotField axis="axisRow" dataField="1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Continent" fld="3" subtotal="count" baseField="0" baseItem="0"/>
  </dataFields>
  <chartFormats count="5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A9388-F57D-4D0D-8CFD-287D09989D3D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8:H12" firstHeaderRow="1" firstDataRow="1" firstDataCol="1"/>
  <pivotFields count="4">
    <pivotField showAll="0"/>
    <pivotField showAll="0"/>
    <pivotField showAll="0"/>
    <pivotField axis="axisRow" dataField="1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Continent" fld="3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610C0-AC47-43B9-A18A-9F533853A53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H2:K9" firstHeaderRow="1" firstDataRow="2" firstDataCol="1"/>
  <pivotFields count="5">
    <pivotField showAll="0"/>
    <pivotField showAll="0"/>
    <pivotField showAll="0"/>
    <pivotField axis="axisRow" dataField="1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0"/>
            </reference>
          </references>
        </pivotArea>
      </autoSortScope>
    </pivotField>
    <pivotField axis="axisCol" showAll="0">
      <items count="3">
        <item x="1"/>
        <item x="0"/>
        <item t="default"/>
      </items>
    </pivotField>
  </pivotFields>
  <rowFields count="1">
    <field x="3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ontinent" fld="3" subtotal="count" baseField="0" baseItem="0"/>
  </dataFields>
  <chartFormats count="2"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FDC98-0D60-48B1-8EE0-29BD2C2B893D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F2:G13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  <pivotField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Investment" fld="1" baseField="0" baseItem="0" numFmtId="164"/>
  </dataFields>
  <formats count="13">
    <format dxfId="80">
      <pivotArea collapsedLevelsAreSubtotals="1" fieldPosition="0">
        <references count="1">
          <reference field="0" count="0"/>
        </references>
      </pivotArea>
    </format>
    <format dxfId="73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37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10943-9F11-471C-9D77-0C7617C73CC6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F15:G26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64" showAll="0"/>
    <pivotField dataField="1"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" fld="2" baseField="0" baseItem="0"/>
  </dataFields>
  <formats count="12">
    <format dxfId="60">
      <pivotArea type="all" dataOnly="0" outline="0" fieldPosition="0"/>
    </format>
    <format dxfId="53">
      <pivotArea outline="0" collapsedLevelsAreSubtotals="1" fieldPosition="0"/>
    </format>
    <format dxfId="52">
      <pivotArea field="0" type="button" dataOnly="0" labelOnly="1" outline="0" axis="axisRow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  <format dxfId="24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C031B-421F-4F9C-9DF6-7D6E4E5B61AF}" name="Table1" displayName="Table1" ref="B2:E30" totalsRowShown="0" headerRowDxfId="115" dataDxfId="114">
  <autoFilter ref="B2:E30" xr:uid="{2EDC031B-421F-4F9C-9DF6-7D6E4E5B61AF}"/>
  <tableColumns count="4">
    <tableColumn id="1" xr3:uid="{64C4E0B6-6AE3-49D7-9E89-7F3E1A8FEBEB}" name="Games" dataDxfId="113"/>
    <tableColumn id="2" xr3:uid="{5AE99AFF-9EE6-4D70-8102-9FA9A2394C4E}" name="Year" dataDxfId="112"/>
    <tableColumn id="3" xr3:uid="{79F8B51A-1C7C-46B3-B382-939F6044CF43}" name="City, Country" dataDxfId="111"/>
    <tableColumn id="4" xr3:uid="{2324278F-7CA1-4529-8550-147022FCCF5D}" name="Continent" dataDxfId="11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F4190-AE43-4F1F-9A5E-50DED8149F5E}" name="Table2" displayName="Table2" ref="B2:E25" totalsRowShown="0" headerRowDxfId="109" dataDxfId="108">
  <autoFilter ref="B2:E25" xr:uid="{B22F4190-AE43-4F1F-9A5E-50DED8149F5E}"/>
  <tableColumns count="4">
    <tableColumn id="1" xr3:uid="{E59086C6-7F9C-41BA-BA13-D107FB70B703}" name="Game" dataDxfId="107"/>
    <tableColumn id="2" xr3:uid="{83054EFD-1BCE-4472-A326-4222702405CB}" name="Year" dataDxfId="106"/>
    <tableColumn id="3" xr3:uid="{251FA4BB-6A30-455E-9075-9915D69F4CA3}" name="City, County" dataDxfId="105"/>
    <tableColumn id="4" xr3:uid="{FE5784C1-4C07-46C9-8DA0-766FC68E193C}" name="Continent" dataDxfId="10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DB0AED-D1CB-42DF-875B-DAFC2DF28358}" name="Table4" displayName="Table4" ref="B2:F53" totalsRowShown="0" headerRowDxfId="103" dataDxfId="102">
  <autoFilter ref="B2:F53" xr:uid="{26DB0AED-D1CB-42DF-875B-DAFC2DF28358}"/>
  <tableColumns count="5">
    <tableColumn id="1" xr3:uid="{E6F6444C-C036-4F47-A1D8-9526F323E69C}" name="Game" dataDxfId="101"/>
    <tableColumn id="2" xr3:uid="{835D0D17-E4E6-4291-B033-6F9BDF64CF38}" name="Year" dataDxfId="100"/>
    <tableColumn id="3" xr3:uid="{ADC1CCFF-3C81-409F-81FF-7A51003155AD}" name="City, County" dataDxfId="99"/>
    <tableColumn id="4" xr3:uid="{6541C1C5-B6D2-4FBA-A751-5C3A52673A0A}" name="Continent" dataDxfId="98"/>
    <tableColumn id="5" xr3:uid="{43401414-9FF6-4E5E-9A58-A1F9B76091A4}" name="Season" dataDxfId="97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83B895-DF72-464A-8209-B6BA5917C784}" name="Table3" displayName="Table3" ref="B2:C14" totalsRowShown="0" headerRowDxfId="96" dataDxfId="95">
  <autoFilter ref="B2:C14" xr:uid="{A1982858-CE37-4C87-97D8-C467B4DE6702}"/>
  <tableColumns count="2">
    <tableColumn id="1" xr3:uid="{6969666B-2063-4145-8AA1-F8E5DB92B8AC}" name="Month" dataDxfId="94"/>
    <tableColumn id="2" xr3:uid="{508E5BA7-1BB1-4FA0-B8C1-B50A143EF30E}" name="Average High" dataDxfId="93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092965-9D0F-49E7-825B-88D77EFA9FB4}" name="Table5" displayName="Table5" ref="B2:D12" totalsRowShown="0" headerRowDxfId="39" dataDxfId="38">
  <autoFilter ref="B2:D12" xr:uid="{3AEADF39-BB8B-4B39-8269-E41FBAFDFF91}"/>
  <tableColumns count="3">
    <tableColumn id="1" xr3:uid="{25A92B7D-3D6A-4433-A9D7-F2D461DCD240}" name="Age" dataDxfId="42"/>
    <tableColumn id="2" xr3:uid="{268DF667-2103-409B-B1DC-1FA2A9B6F875}" name="Investment" dataDxfId="41"/>
    <tableColumn id="3" xr3:uid="{917875DB-BF88-4476-A6A9-B18A9F3B9876}" name="Total" dataDxfId="40">
      <calculatedColumnFormula>D2+Table5[[#This Row],[Investment]]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7278-0A51-4827-9971-553DF8FF41C7}">
  <dimension ref="B2:H30"/>
  <sheetViews>
    <sheetView zoomScale="85" zoomScaleNormal="85" workbookViewId="0">
      <selection activeCell="V41" sqref="V41"/>
    </sheetView>
  </sheetViews>
  <sheetFormatPr defaultRowHeight="14.4" x14ac:dyDescent="0.3"/>
  <cols>
    <col min="1" max="1" width="4.5546875" customWidth="1"/>
    <col min="2" max="2" width="12.6640625" style="3" customWidth="1"/>
    <col min="3" max="3" width="10.6640625" style="3" customWidth="1"/>
    <col min="4" max="4" width="27.44140625" style="3" customWidth="1"/>
    <col min="5" max="5" width="23.109375" style="3" customWidth="1"/>
    <col min="6" max="6" width="3.77734375" customWidth="1"/>
    <col min="7" max="7" width="12.88671875" bestFit="1" customWidth="1"/>
    <col min="8" max="8" width="16.6640625" bestFit="1" customWidth="1"/>
    <col min="9" max="9" width="3.5546875" customWidth="1"/>
  </cols>
  <sheetData>
    <row r="2" spans="2:8" x14ac:dyDescent="0.3">
      <c r="B2" s="3" t="s">
        <v>0</v>
      </c>
      <c r="C2" s="3" t="s">
        <v>1</v>
      </c>
      <c r="D2" s="3" t="s">
        <v>2</v>
      </c>
      <c r="E2" s="3" t="s">
        <v>3</v>
      </c>
      <c r="G2" s="1" t="s">
        <v>60</v>
      </c>
      <c r="H2" t="s">
        <v>62</v>
      </c>
    </row>
    <row r="3" spans="2:8" x14ac:dyDescent="0.3">
      <c r="B3" s="3" t="s">
        <v>4</v>
      </c>
      <c r="C3" s="3">
        <v>1896</v>
      </c>
      <c r="D3" s="3" t="s">
        <v>5</v>
      </c>
      <c r="E3" s="3" t="s">
        <v>6</v>
      </c>
      <c r="G3" s="2" t="s">
        <v>6</v>
      </c>
      <c r="H3">
        <v>16</v>
      </c>
    </row>
    <row r="4" spans="2:8" x14ac:dyDescent="0.3">
      <c r="B4" s="3" t="s">
        <v>7</v>
      </c>
      <c r="C4" s="3">
        <v>1900</v>
      </c>
      <c r="D4" s="3" t="s">
        <v>8</v>
      </c>
      <c r="E4" s="3" t="s">
        <v>6</v>
      </c>
      <c r="G4" s="2" t="s">
        <v>11</v>
      </c>
      <c r="H4">
        <v>6</v>
      </c>
    </row>
    <row r="5" spans="2:8" x14ac:dyDescent="0.3">
      <c r="B5" s="3" t="s">
        <v>9</v>
      </c>
      <c r="C5" s="3">
        <v>1904</v>
      </c>
      <c r="D5" s="3" t="s">
        <v>10</v>
      </c>
      <c r="E5" s="3" t="s">
        <v>11</v>
      </c>
      <c r="G5" s="2" t="s">
        <v>35</v>
      </c>
      <c r="H5">
        <v>3</v>
      </c>
    </row>
    <row r="6" spans="2:8" x14ac:dyDescent="0.3">
      <c r="B6" s="3" t="s">
        <v>12</v>
      </c>
      <c r="C6" s="3">
        <v>1908</v>
      </c>
      <c r="D6" s="3" t="s">
        <v>13</v>
      </c>
      <c r="E6" s="3" t="s">
        <v>6</v>
      </c>
      <c r="G6" s="2" t="s">
        <v>30</v>
      </c>
      <c r="H6">
        <v>2</v>
      </c>
    </row>
    <row r="7" spans="2:8" x14ac:dyDescent="0.3">
      <c r="B7" s="3" t="s">
        <v>14</v>
      </c>
      <c r="C7" s="3">
        <v>1912</v>
      </c>
      <c r="D7" s="3" t="s">
        <v>15</v>
      </c>
      <c r="E7" s="3" t="s">
        <v>6</v>
      </c>
      <c r="G7" s="2" t="s">
        <v>59</v>
      </c>
      <c r="H7">
        <v>1</v>
      </c>
    </row>
    <row r="8" spans="2:8" x14ac:dyDescent="0.3">
      <c r="B8" s="3" t="s">
        <v>16</v>
      </c>
      <c r="C8" s="3">
        <v>1920</v>
      </c>
      <c r="D8" s="3" t="s">
        <v>17</v>
      </c>
      <c r="E8" s="3" t="s">
        <v>6</v>
      </c>
      <c r="G8" s="2" t="s">
        <v>61</v>
      </c>
      <c r="H8">
        <v>28</v>
      </c>
    </row>
    <row r="9" spans="2:8" x14ac:dyDescent="0.3">
      <c r="B9" s="3" t="s">
        <v>18</v>
      </c>
      <c r="C9" s="3">
        <v>1924</v>
      </c>
      <c r="D9" s="3" t="s">
        <v>8</v>
      </c>
      <c r="E9" s="3" t="s">
        <v>6</v>
      </c>
    </row>
    <row r="10" spans="2:8" x14ac:dyDescent="0.3">
      <c r="B10" s="3" t="s">
        <v>19</v>
      </c>
      <c r="C10" s="3">
        <v>1928</v>
      </c>
      <c r="D10" s="3" t="s">
        <v>20</v>
      </c>
      <c r="E10" s="3" t="s">
        <v>6</v>
      </c>
      <c r="G10" s="1" t="s">
        <v>60</v>
      </c>
      <c r="H10" t="s">
        <v>62</v>
      </c>
    </row>
    <row r="11" spans="2:8" x14ac:dyDescent="0.3">
      <c r="B11" s="3" t="s">
        <v>21</v>
      </c>
      <c r="C11" s="3">
        <v>1932</v>
      </c>
      <c r="D11" s="3" t="s">
        <v>22</v>
      </c>
      <c r="E11" s="3" t="s">
        <v>11</v>
      </c>
      <c r="G11" s="2" t="s">
        <v>59</v>
      </c>
      <c r="H11">
        <v>1</v>
      </c>
    </row>
    <row r="12" spans="2:8" x14ac:dyDescent="0.3">
      <c r="B12" s="3" t="s">
        <v>23</v>
      </c>
      <c r="C12" s="3">
        <v>1936</v>
      </c>
      <c r="D12" s="3" t="s">
        <v>24</v>
      </c>
      <c r="E12" s="3" t="s">
        <v>6</v>
      </c>
      <c r="G12" s="2" t="s">
        <v>30</v>
      </c>
      <c r="H12">
        <v>2</v>
      </c>
    </row>
    <row r="13" spans="2:8" x14ac:dyDescent="0.3">
      <c r="B13" s="3" t="s">
        <v>25</v>
      </c>
      <c r="C13" s="3">
        <v>1948</v>
      </c>
      <c r="D13" s="3" t="s">
        <v>13</v>
      </c>
      <c r="E13" s="3" t="s">
        <v>6</v>
      </c>
      <c r="G13" s="2" t="s">
        <v>35</v>
      </c>
      <c r="H13">
        <v>3</v>
      </c>
    </row>
    <row r="14" spans="2:8" x14ac:dyDescent="0.3">
      <c r="B14" s="3" t="s">
        <v>26</v>
      </c>
      <c r="C14" s="3">
        <v>1952</v>
      </c>
      <c r="D14" s="3" t="s">
        <v>27</v>
      </c>
      <c r="E14" s="3" t="s">
        <v>6</v>
      </c>
      <c r="G14" s="2" t="s">
        <v>11</v>
      </c>
      <c r="H14">
        <v>6</v>
      </c>
    </row>
    <row r="15" spans="2:8" x14ac:dyDescent="0.3">
      <c r="B15" s="3" t="s">
        <v>28</v>
      </c>
      <c r="C15" s="3">
        <v>1956</v>
      </c>
      <c r="D15" s="3" t="s">
        <v>29</v>
      </c>
      <c r="E15" s="3" t="s">
        <v>30</v>
      </c>
      <c r="G15" s="2" t="s">
        <v>6</v>
      </c>
      <c r="H15">
        <v>16</v>
      </c>
    </row>
    <row r="16" spans="2:8" x14ac:dyDescent="0.3">
      <c r="B16" s="3" t="s">
        <v>31</v>
      </c>
      <c r="C16" s="3">
        <v>1960</v>
      </c>
      <c r="D16" s="3" t="s">
        <v>32</v>
      </c>
      <c r="E16" s="3" t="s">
        <v>6</v>
      </c>
      <c r="G16" s="2" t="s">
        <v>61</v>
      </c>
      <c r="H16">
        <v>28</v>
      </c>
    </row>
    <row r="17" spans="2:8" x14ac:dyDescent="0.3">
      <c r="B17" s="3" t="s">
        <v>33</v>
      </c>
      <c r="C17" s="3">
        <v>1964</v>
      </c>
      <c r="D17" s="3" t="s">
        <v>34</v>
      </c>
      <c r="E17" s="3" t="s">
        <v>35</v>
      </c>
    </row>
    <row r="18" spans="2:8" x14ac:dyDescent="0.3">
      <c r="B18" s="3" t="s">
        <v>36</v>
      </c>
      <c r="C18" s="3">
        <v>1968</v>
      </c>
      <c r="D18" s="3" t="s">
        <v>37</v>
      </c>
      <c r="E18" s="3" t="s">
        <v>11</v>
      </c>
    </row>
    <row r="19" spans="2:8" x14ac:dyDescent="0.3">
      <c r="B19" s="3" t="s">
        <v>38</v>
      </c>
      <c r="C19" s="3">
        <v>1972</v>
      </c>
      <c r="D19" s="3" t="s">
        <v>39</v>
      </c>
      <c r="E19" s="3" t="s">
        <v>6</v>
      </c>
      <c r="G19" t="s">
        <v>60</v>
      </c>
      <c r="H19" t="s">
        <v>62</v>
      </c>
    </row>
    <row r="20" spans="2:8" x14ac:dyDescent="0.3">
      <c r="B20" s="3" t="s">
        <v>40</v>
      </c>
      <c r="C20" s="3">
        <v>1976</v>
      </c>
      <c r="D20" s="3" t="s">
        <v>41</v>
      </c>
      <c r="E20" s="3" t="s">
        <v>11</v>
      </c>
      <c r="G20" t="s">
        <v>6</v>
      </c>
      <c r="H20">
        <v>16</v>
      </c>
    </row>
    <row r="21" spans="2:8" x14ac:dyDescent="0.3">
      <c r="B21" s="3" t="s">
        <v>42</v>
      </c>
      <c r="C21" s="3">
        <v>1980</v>
      </c>
      <c r="D21" s="3" t="s">
        <v>43</v>
      </c>
      <c r="E21" s="3" t="s">
        <v>6</v>
      </c>
      <c r="G21" t="s">
        <v>11</v>
      </c>
      <c r="H21">
        <v>6</v>
      </c>
    </row>
    <row r="22" spans="2:8" x14ac:dyDescent="0.3">
      <c r="B22" s="3" t="s">
        <v>44</v>
      </c>
      <c r="C22" s="3">
        <v>1984</v>
      </c>
      <c r="D22" s="3" t="s">
        <v>22</v>
      </c>
      <c r="E22" s="3" t="s">
        <v>11</v>
      </c>
      <c r="G22" t="s">
        <v>35</v>
      </c>
      <c r="H22">
        <v>3</v>
      </c>
    </row>
    <row r="23" spans="2:8" x14ac:dyDescent="0.3">
      <c r="B23" s="3" t="s">
        <v>45</v>
      </c>
      <c r="C23" s="3">
        <v>1988</v>
      </c>
      <c r="D23" s="3" t="s">
        <v>46</v>
      </c>
      <c r="E23" s="3" t="s">
        <v>35</v>
      </c>
      <c r="G23" t="s">
        <v>30</v>
      </c>
      <c r="H23">
        <v>2</v>
      </c>
    </row>
    <row r="24" spans="2:8" x14ac:dyDescent="0.3">
      <c r="B24" s="3" t="s">
        <v>47</v>
      </c>
      <c r="C24" s="3">
        <v>1992</v>
      </c>
      <c r="D24" s="3" t="s">
        <v>48</v>
      </c>
      <c r="E24" s="3" t="s">
        <v>6</v>
      </c>
      <c r="G24" t="s">
        <v>59</v>
      </c>
      <c r="H24">
        <v>1</v>
      </c>
    </row>
    <row r="25" spans="2:8" x14ac:dyDescent="0.3">
      <c r="B25" s="3" t="s">
        <v>49</v>
      </c>
      <c r="C25" s="3">
        <v>1996</v>
      </c>
      <c r="D25" s="3" t="s">
        <v>50</v>
      </c>
      <c r="E25" s="3" t="s">
        <v>11</v>
      </c>
    </row>
    <row r="26" spans="2:8" x14ac:dyDescent="0.3">
      <c r="B26" s="3" t="s">
        <v>51</v>
      </c>
      <c r="C26" s="3">
        <v>2000</v>
      </c>
      <c r="D26" s="3" t="s">
        <v>52</v>
      </c>
      <c r="E26" s="3" t="s">
        <v>30</v>
      </c>
    </row>
    <row r="27" spans="2:8" x14ac:dyDescent="0.3">
      <c r="B27" s="3" t="s">
        <v>53</v>
      </c>
      <c r="C27" s="3">
        <v>2004</v>
      </c>
      <c r="D27" s="3" t="s">
        <v>5</v>
      </c>
      <c r="E27" s="3" t="s">
        <v>6</v>
      </c>
    </row>
    <row r="28" spans="2:8" x14ac:dyDescent="0.3">
      <c r="B28" s="3" t="s">
        <v>54</v>
      </c>
      <c r="C28" s="3">
        <v>2008</v>
      </c>
      <c r="D28" s="3" t="s">
        <v>55</v>
      </c>
      <c r="E28" s="3" t="s">
        <v>35</v>
      </c>
    </row>
    <row r="29" spans="2:8" x14ac:dyDescent="0.3">
      <c r="B29" s="3" t="s">
        <v>56</v>
      </c>
      <c r="C29" s="3">
        <v>2012</v>
      </c>
      <c r="D29" s="3" t="s">
        <v>13</v>
      </c>
      <c r="E29" s="3" t="s">
        <v>6</v>
      </c>
    </row>
    <row r="30" spans="2:8" x14ac:dyDescent="0.3">
      <c r="B30" s="3" t="s">
        <v>57</v>
      </c>
      <c r="C30" s="3">
        <v>2016</v>
      </c>
      <c r="D30" s="3" t="s">
        <v>58</v>
      </c>
      <c r="E30" s="3" t="s">
        <v>59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A28B-BDBF-4B3F-9A0A-B6EA50928820}">
  <dimension ref="B2:AB39"/>
  <sheetViews>
    <sheetView topLeftCell="D1" zoomScaleNormal="100" workbookViewId="0">
      <selection activeCell="T36" sqref="T36"/>
    </sheetView>
  </sheetViews>
  <sheetFormatPr defaultColWidth="8.88671875" defaultRowHeight="14.4" x14ac:dyDescent="0.3"/>
  <cols>
    <col min="1" max="1" width="2.21875" style="3" customWidth="1"/>
    <col min="2" max="2" width="10.88671875" style="3" bestFit="1" customWidth="1"/>
    <col min="3" max="3" width="9.5546875" style="3" bestFit="1" customWidth="1"/>
    <col min="4" max="4" width="32" style="3" bestFit="1" customWidth="1"/>
    <col min="5" max="5" width="15.5546875" style="3" customWidth="1"/>
    <col min="6" max="6" width="3.88671875" style="3" customWidth="1"/>
    <col min="7" max="7" width="13.44140625" style="3" bestFit="1" customWidth="1"/>
    <col min="8" max="8" width="18.33203125" style="3" bestFit="1" customWidth="1"/>
    <col min="9" max="9" width="3" style="3" customWidth="1"/>
    <col min="10" max="16384" width="8.88671875" style="3"/>
  </cols>
  <sheetData>
    <row r="2" spans="2:28" x14ac:dyDescent="0.3">
      <c r="B2" s="3" t="s">
        <v>86</v>
      </c>
      <c r="C2" s="3" t="s">
        <v>1</v>
      </c>
      <c r="D2" s="3" t="s">
        <v>87</v>
      </c>
      <c r="E2" s="3" t="s">
        <v>3</v>
      </c>
      <c r="F2"/>
      <c r="G2" s="1" t="s">
        <v>60</v>
      </c>
      <c r="H2" t="s">
        <v>62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2:28" x14ac:dyDescent="0.3">
      <c r="B3" s="3" t="s">
        <v>4</v>
      </c>
      <c r="C3" s="3">
        <v>1924</v>
      </c>
      <c r="D3" s="3" t="s">
        <v>63</v>
      </c>
      <c r="E3" s="3" t="s">
        <v>6</v>
      </c>
      <c r="F3"/>
      <c r="G3" s="2" t="s">
        <v>6</v>
      </c>
      <c r="H3">
        <v>14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2:28" x14ac:dyDescent="0.3">
      <c r="B4" s="3" t="s">
        <v>7</v>
      </c>
      <c r="C4" s="3">
        <v>1928</v>
      </c>
      <c r="D4" s="3" t="s">
        <v>64</v>
      </c>
      <c r="E4" s="3" t="s">
        <v>6</v>
      </c>
      <c r="F4"/>
      <c r="G4" s="2" t="s">
        <v>11</v>
      </c>
      <c r="H4">
        <v>6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2:28" x14ac:dyDescent="0.3">
      <c r="B5" s="3" t="s">
        <v>9</v>
      </c>
      <c r="C5" s="3">
        <v>1932</v>
      </c>
      <c r="D5" s="3" t="s">
        <v>65</v>
      </c>
      <c r="E5" s="3" t="s">
        <v>11</v>
      </c>
      <c r="F5"/>
      <c r="G5" s="2" t="s">
        <v>35</v>
      </c>
      <c r="H5">
        <v>3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2:28" x14ac:dyDescent="0.3">
      <c r="B6" s="3" t="s">
        <v>12</v>
      </c>
      <c r="C6" s="3">
        <v>1936</v>
      </c>
      <c r="D6" s="3" t="s">
        <v>66</v>
      </c>
      <c r="E6" s="3" t="s">
        <v>6</v>
      </c>
      <c r="F6"/>
      <c r="G6" s="2" t="s">
        <v>61</v>
      </c>
      <c r="H6">
        <v>23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2:28" x14ac:dyDescent="0.3">
      <c r="B7" s="3" t="s">
        <v>14</v>
      </c>
      <c r="C7" s="3">
        <v>1948</v>
      </c>
      <c r="D7" s="3" t="s">
        <v>64</v>
      </c>
      <c r="E7" s="3" t="s">
        <v>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2:28" x14ac:dyDescent="0.3">
      <c r="B8" s="3" t="s">
        <v>67</v>
      </c>
      <c r="C8" s="3">
        <v>1952</v>
      </c>
      <c r="D8" s="3" t="s">
        <v>68</v>
      </c>
      <c r="E8" s="3" t="s">
        <v>6</v>
      </c>
      <c r="F8"/>
      <c r="G8" s="1" t="s">
        <v>60</v>
      </c>
      <c r="H8" t="s">
        <v>62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2:28" x14ac:dyDescent="0.3">
      <c r="B9" s="3" t="s">
        <v>16</v>
      </c>
      <c r="C9" s="3">
        <v>1956</v>
      </c>
      <c r="D9" s="3" t="s">
        <v>69</v>
      </c>
      <c r="E9" s="3" t="s">
        <v>6</v>
      </c>
      <c r="F9"/>
      <c r="G9" s="2" t="s">
        <v>35</v>
      </c>
      <c r="H9">
        <v>3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2:28" x14ac:dyDescent="0.3">
      <c r="B10" s="3" t="s">
        <v>18</v>
      </c>
      <c r="C10" s="3">
        <v>1960</v>
      </c>
      <c r="D10" s="3" t="s">
        <v>70</v>
      </c>
      <c r="E10" s="3" t="s">
        <v>11</v>
      </c>
      <c r="F10"/>
      <c r="G10" s="2" t="s">
        <v>11</v>
      </c>
      <c r="H10">
        <v>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2:28" x14ac:dyDescent="0.3">
      <c r="B11" s="3" t="s">
        <v>19</v>
      </c>
      <c r="C11" s="3">
        <v>1964</v>
      </c>
      <c r="D11" s="3" t="s">
        <v>71</v>
      </c>
      <c r="E11" s="3" t="s">
        <v>6</v>
      </c>
      <c r="F11"/>
      <c r="G11" s="2" t="s">
        <v>6</v>
      </c>
      <c r="H11">
        <v>14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2:28" x14ac:dyDescent="0.3">
      <c r="B12" s="3" t="s">
        <v>21</v>
      </c>
      <c r="C12" s="3">
        <v>1968</v>
      </c>
      <c r="D12" s="3" t="s">
        <v>72</v>
      </c>
      <c r="E12" s="3" t="s">
        <v>6</v>
      </c>
      <c r="F12"/>
      <c r="G12" s="2" t="s">
        <v>61</v>
      </c>
      <c r="H12">
        <v>23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28" x14ac:dyDescent="0.3">
      <c r="B13" s="3" t="s">
        <v>23</v>
      </c>
      <c r="C13" s="3">
        <v>1972</v>
      </c>
      <c r="D13" s="3" t="s">
        <v>73</v>
      </c>
      <c r="E13" s="3" t="s">
        <v>35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2:28" x14ac:dyDescent="0.3">
      <c r="B14" s="3" t="s">
        <v>74</v>
      </c>
      <c r="C14" s="3">
        <v>1976</v>
      </c>
      <c r="D14" s="3" t="s">
        <v>71</v>
      </c>
      <c r="E14" s="3" t="s">
        <v>6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2:28" x14ac:dyDescent="0.3">
      <c r="B15" s="3" t="s">
        <v>75</v>
      </c>
      <c r="C15" s="3">
        <v>1980</v>
      </c>
      <c r="D15" s="3" t="s">
        <v>65</v>
      </c>
      <c r="E15" s="3" t="s">
        <v>11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2:28" x14ac:dyDescent="0.3">
      <c r="B16" s="3" t="s">
        <v>25</v>
      </c>
      <c r="C16" s="3">
        <v>1984</v>
      </c>
      <c r="D16" s="3" t="s">
        <v>76</v>
      </c>
      <c r="E16" s="3" t="s">
        <v>6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2:28" x14ac:dyDescent="0.3">
      <c r="B17" s="3" t="s">
        <v>26</v>
      </c>
      <c r="C17" s="3">
        <v>1988</v>
      </c>
      <c r="D17" s="3" t="s">
        <v>77</v>
      </c>
      <c r="E17" s="3" t="s">
        <v>11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x14ac:dyDescent="0.3">
      <c r="B18" s="3" t="s">
        <v>28</v>
      </c>
      <c r="C18" s="3">
        <v>1992</v>
      </c>
      <c r="D18" s="3" t="s">
        <v>78</v>
      </c>
      <c r="E18" s="3" t="s">
        <v>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 x14ac:dyDescent="0.3">
      <c r="B19" s="3" t="s">
        <v>31</v>
      </c>
      <c r="C19" s="3">
        <v>1994</v>
      </c>
      <c r="D19" s="3" t="s">
        <v>79</v>
      </c>
      <c r="E19" s="3" t="s">
        <v>6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 x14ac:dyDescent="0.3">
      <c r="B20" s="3" t="s">
        <v>33</v>
      </c>
      <c r="C20" s="3">
        <v>1998</v>
      </c>
      <c r="D20" s="3" t="s">
        <v>80</v>
      </c>
      <c r="E20" s="3" t="s">
        <v>35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2:28" x14ac:dyDescent="0.3">
      <c r="B21" s="3" t="s">
        <v>36</v>
      </c>
      <c r="C21" s="3">
        <v>2002</v>
      </c>
      <c r="D21" s="3" t="s">
        <v>81</v>
      </c>
      <c r="E21" s="3" t="s">
        <v>11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2:28" x14ac:dyDescent="0.3">
      <c r="B22" s="3" t="s">
        <v>38</v>
      </c>
      <c r="C22" s="3">
        <v>2006</v>
      </c>
      <c r="D22" s="3" t="s">
        <v>82</v>
      </c>
      <c r="E22" s="3" t="s">
        <v>6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2:28" x14ac:dyDescent="0.3">
      <c r="B23" s="3" t="s">
        <v>40</v>
      </c>
      <c r="C23" s="3">
        <v>2010</v>
      </c>
      <c r="D23" s="3" t="s">
        <v>83</v>
      </c>
      <c r="E23" s="3" t="s">
        <v>11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2:28" x14ac:dyDescent="0.3">
      <c r="B24" s="3" t="s">
        <v>42</v>
      </c>
      <c r="C24" s="3">
        <v>2014</v>
      </c>
      <c r="D24" s="3" t="s">
        <v>84</v>
      </c>
      <c r="E24" s="3" t="s">
        <v>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2:28" x14ac:dyDescent="0.3">
      <c r="B25" s="3" t="s">
        <v>44</v>
      </c>
      <c r="C25" s="3">
        <v>2018</v>
      </c>
      <c r="D25" s="3" t="s">
        <v>85</v>
      </c>
      <c r="E25" s="3" t="s">
        <v>35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2:28" x14ac:dyDescent="0.3"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2:28" x14ac:dyDescent="0.3"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2:28" x14ac:dyDescent="0.3"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2:28" x14ac:dyDescent="0.3"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2:28" x14ac:dyDescent="0.3"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2:28" x14ac:dyDescent="0.3"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2:28" x14ac:dyDescent="0.3"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6:28" x14ac:dyDescent="0.3"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6:28" x14ac:dyDescent="0.3"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6:28" x14ac:dyDescent="0.3"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6:28" x14ac:dyDescent="0.3"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6:28" x14ac:dyDescent="0.3"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6:28" x14ac:dyDescent="0.3">
      <c r="F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6:28" x14ac:dyDescent="0.3">
      <c r="F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</sheetData>
  <pageMargins left="0.7" right="0.7" top="0.75" bottom="0.75" header="0.3" footer="0.3"/>
  <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EAAE-C8E5-44B6-A06F-01FFE762E4F1}">
  <dimension ref="B2:K53"/>
  <sheetViews>
    <sheetView zoomScaleNormal="100" workbookViewId="0">
      <selection activeCell="H33" sqref="H33"/>
    </sheetView>
  </sheetViews>
  <sheetFormatPr defaultRowHeight="14.4" x14ac:dyDescent="0.3"/>
  <cols>
    <col min="1" max="1" width="3.5546875" customWidth="1"/>
    <col min="2" max="2" width="10.33203125" style="3" bestFit="1" customWidth="1"/>
    <col min="3" max="3" width="9.109375" style="3" bestFit="1" customWidth="1"/>
    <col min="4" max="4" width="29.5546875" style="3" bestFit="1" customWidth="1"/>
    <col min="5" max="5" width="13.77734375" style="3" bestFit="1" customWidth="1"/>
    <col min="6" max="6" width="14" style="3" bestFit="1" customWidth="1"/>
    <col min="7" max="7" width="3.5546875" customWidth="1"/>
    <col min="8" max="8" width="17.33203125" bestFit="1" customWidth="1"/>
    <col min="9" max="9" width="15.5546875" bestFit="1" customWidth="1"/>
    <col min="10" max="10" width="12.88671875" bestFit="1" customWidth="1"/>
    <col min="11" max="11" width="10.77734375" bestFit="1" customWidth="1"/>
    <col min="12" max="12" width="3.5546875" customWidth="1"/>
  </cols>
  <sheetData>
    <row r="2" spans="2:11" x14ac:dyDescent="0.3">
      <c r="B2" s="3" t="s">
        <v>86</v>
      </c>
      <c r="C2" s="3" t="s">
        <v>1</v>
      </c>
      <c r="D2" s="3" t="s">
        <v>87</v>
      </c>
      <c r="E2" s="3" t="s">
        <v>3</v>
      </c>
      <c r="F2" s="3" t="s">
        <v>90</v>
      </c>
      <c r="H2" s="1" t="s">
        <v>62</v>
      </c>
      <c r="I2" s="1" t="s">
        <v>91</v>
      </c>
    </row>
    <row r="3" spans="2:11" x14ac:dyDescent="0.3">
      <c r="B3" s="3" t="s">
        <v>4</v>
      </c>
      <c r="C3" s="3">
        <v>1924</v>
      </c>
      <c r="D3" s="3" t="s">
        <v>63</v>
      </c>
      <c r="E3" s="3" t="s">
        <v>6</v>
      </c>
      <c r="F3" s="3" t="s">
        <v>88</v>
      </c>
      <c r="H3" s="1" t="s">
        <v>60</v>
      </c>
      <c r="I3" t="s">
        <v>89</v>
      </c>
      <c r="J3" t="s">
        <v>88</v>
      </c>
      <c r="K3" t="s">
        <v>61</v>
      </c>
    </row>
    <row r="4" spans="2:11" x14ac:dyDescent="0.3">
      <c r="B4" s="3" t="s">
        <v>7</v>
      </c>
      <c r="C4" s="3">
        <v>1928</v>
      </c>
      <c r="D4" s="3" t="s">
        <v>64</v>
      </c>
      <c r="E4" s="3" t="s">
        <v>6</v>
      </c>
      <c r="F4" s="3" t="s">
        <v>88</v>
      </c>
      <c r="H4" s="2" t="s">
        <v>6</v>
      </c>
      <c r="I4">
        <v>16</v>
      </c>
      <c r="J4">
        <v>14</v>
      </c>
      <c r="K4">
        <v>30</v>
      </c>
    </row>
    <row r="5" spans="2:11" x14ac:dyDescent="0.3">
      <c r="B5" s="3" t="s">
        <v>9</v>
      </c>
      <c r="C5" s="3">
        <v>1932</v>
      </c>
      <c r="D5" s="3" t="s">
        <v>65</v>
      </c>
      <c r="E5" s="3" t="s">
        <v>11</v>
      </c>
      <c r="F5" s="3" t="s">
        <v>88</v>
      </c>
      <c r="H5" s="2" t="s">
        <v>11</v>
      </c>
      <c r="I5">
        <v>6</v>
      </c>
      <c r="J5">
        <v>6</v>
      </c>
      <c r="K5">
        <v>12</v>
      </c>
    </row>
    <row r="6" spans="2:11" x14ac:dyDescent="0.3">
      <c r="B6" s="3" t="s">
        <v>12</v>
      </c>
      <c r="C6" s="3">
        <v>1936</v>
      </c>
      <c r="D6" s="3" t="s">
        <v>66</v>
      </c>
      <c r="E6" s="3" t="s">
        <v>6</v>
      </c>
      <c r="F6" s="3" t="s">
        <v>88</v>
      </c>
      <c r="H6" s="2" t="s">
        <v>35</v>
      </c>
      <c r="I6">
        <v>3</v>
      </c>
      <c r="J6">
        <v>3</v>
      </c>
      <c r="K6">
        <v>6</v>
      </c>
    </row>
    <row r="7" spans="2:11" x14ac:dyDescent="0.3">
      <c r="B7" s="3" t="s">
        <v>14</v>
      </c>
      <c r="C7" s="3">
        <v>1948</v>
      </c>
      <c r="D7" s="3" t="s">
        <v>64</v>
      </c>
      <c r="E7" s="3" t="s">
        <v>6</v>
      </c>
      <c r="F7" s="3" t="s">
        <v>88</v>
      </c>
      <c r="H7" s="2" t="s">
        <v>30</v>
      </c>
      <c r="I7">
        <v>2</v>
      </c>
      <c r="K7">
        <v>2</v>
      </c>
    </row>
    <row r="8" spans="2:11" x14ac:dyDescent="0.3">
      <c r="B8" s="3" t="s">
        <v>67</v>
      </c>
      <c r="C8" s="3">
        <v>1952</v>
      </c>
      <c r="D8" s="3" t="s">
        <v>68</v>
      </c>
      <c r="E8" s="3" t="s">
        <v>6</v>
      </c>
      <c r="F8" s="3" t="s">
        <v>88</v>
      </c>
      <c r="H8" s="2" t="s">
        <v>59</v>
      </c>
      <c r="I8">
        <v>1</v>
      </c>
      <c r="K8">
        <v>1</v>
      </c>
    </row>
    <row r="9" spans="2:11" x14ac:dyDescent="0.3">
      <c r="B9" s="3" t="s">
        <v>16</v>
      </c>
      <c r="C9" s="3">
        <v>1956</v>
      </c>
      <c r="D9" s="3" t="s">
        <v>69</v>
      </c>
      <c r="E9" s="3" t="s">
        <v>6</v>
      </c>
      <c r="F9" s="3" t="s">
        <v>88</v>
      </c>
      <c r="H9" s="2" t="s">
        <v>61</v>
      </c>
      <c r="I9">
        <v>28</v>
      </c>
      <c r="J9">
        <v>23</v>
      </c>
      <c r="K9">
        <v>51</v>
      </c>
    </row>
    <row r="10" spans="2:11" x14ac:dyDescent="0.3">
      <c r="B10" s="3" t="s">
        <v>18</v>
      </c>
      <c r="C10" s="3">
        <v>1960</v>
      </c>
      <c r="D10" s="3" t="s">
        <v>70</v>
      </c>
      <c r="E10" s="3" t="s">
        <v>11</v>
      </c>
      <c r="F10" s="3" t="s">
        <v>88</v>
      </c>
    </row>
    <row r="11" spans="2:11" x14ac:dyDescent="0.3">
      <c r="B11" s="3" t="s">
        <v>19</v>
      </c>
      <c r="C11" s="3">
        <v>1964</v>
      </c>
      <c r="D11" s="3" t="s">
        <v>71</v>
      </c>
      <c r="E11" s="3" t="s">
        <v>6</v>
      </c>
      <c r="F11" s="3" t="s">
        <v>88</v>
      </c>
    </row>
    <row r="12" spans="2:11" x14ac:dyDescent="0.3">
      <c r="B12" s="3" t="s">
        <v>21</v>
      </c>
      <c r="C12" s="3">
        <v>1968</v>
      </c>
      <c r="D12" s="3" t="s">
        <v>72</v>
      </c>
      <c r="E12" s="3" t="s">
        <v>6</v>
      </c>
      <c r="F12" s="3" t="s">
        <v>88</v>
      </c>
    </row>
    <row r="13" spans="2:11" x14ac:dyDescent="0.3">
      <c r="B13" s="3" t="s">
        <v>23</v>
      </c>
      <c r="C13" s="3">
        <v>1972</v>
      </c>
      <c r="D13" s="3" t="s">
        <v>73</v>
      </c>
      <c r="E13" s="3" t="s">
        <v>35</v>
      </c>
      <c r="F13" s="3" t="s">
        <v>88</v>
      </c>
    </row>
    <row r="14" spans="2:11" x14ac:dyDescent="0.3">
      <c r="B14" s="3" t="s">
        <v>74</v>
      </c>
      <c r="C14" s="3">
        <v>1976</v>
      </c>
      <c r="D14" s="3" t="s">
        <v>71</v>
      </c>
      <c r="E14" s="3" t="s">
        <v>6</v>
      </c>
      <c r="F14" s="3" t="s">
        <v>88</v>
      </c>
    </row>
    <row r="15" spans="2:11" x14ac:dyDescent="0.3">
      <c r="B15" s="3" t="s">
        <v>75</v>
      </c>
      <c r="C15" s="3">
        <v>1980</v>
      </c>
      <c r="D15" s="3" t="s">
        <v>65</v>
      </c>
      <c r="E15" s="3" t="s">
        <v>11</v>
      </c>
      <c r="F15" s="3" t="s">
        <v>88</v>
      </c>
    </row>
    <row r="16" spans="2:11" x14ac:dyDescent="0.3">
      <c r="B16" s="3" t="s">
        <v>25</v>
      </c>
      <c r="C16" s="3">
        <v>1984</v>
      </c>
      <c r="D16" s="3" t="s">
        <v>76</v>
      </c>
      <c r="E16" s="3" t="s">
        <v>6</v>
      </c>
      <c r="F16" s="3" t="s">
        <v>88</v>
      </c>
    </row>
    <row r="17" spans="2:6" x14ac:dyDescent="0.3">
      <c r="B17" s="3" t="s">
        <v>26</v>
      </c>
      <c r="C17" s="3">
        <v>1988</v>
      </c>
      <c r="D17" s="3" t="s">
        <v>77</v>
      </c>
      <c r="E17" s="3" t="s">
        <v>11</v>
      </c>
      <c r="F17" s="3" t="s">
        <v>88</v>
      </c>
    </row>
    <row r="18" spans="2:6" x14ac:dyDescent="0.3">
      <c r="B18" s="3" t="s">
        <v>28</v>
      </c>
      <c r="C18" s="3">
        <v>1992</v>
      </c>
      <c r="D18" s="3" t="s">
        <v>78</v>
      </c>
      <c r="E18" s="3" t="s">
        <v>6</v>
      </c>
      <c r="F18" s="3" t="s">
        <v>88</v>
      </c>
    </row>
    <row r="19" spans="2:6" x14ac:dyDescent="0.3">
      <c r="B19" s="3" t="s">
        <v>31</v>
      </c>
      <c r="C19" s="3">
        <v>1994</v>
      </c>
      <c r="D19" s="3" t="s">
        <v>79</v>
      </c>
      <c r="E19" s="3" t="s">
        <v>6</v>
      </c>
      <c r="F19" s="3" t="s">
        <v>88</v>
      </c>
    </row>
    <row r="20" spans="2:6" x14ac:dyDescent="0.3">
      <c r="B20" s="3" t="s">
        <v>33</v>
      </c>
      <c r="C20" s="3">
        <v>1998</v>
      </c>
      <c r="D20" s="3" t="s">
        <v>80</v>
      </c>
      <c r="E20" s="3" t="s">
        <v>35</v>
      </c>
      <c r="F20" s="3" t="s">
        <v>88</v>
      </c>
    </row>
    <row r="21" spans="2:6" x14ac:dyDescent="0.3">
      <c r="B21" s="3" t="s">
        <v>36</v>
      </c>
      <c r="C21" s="3">
        <v>2002</v>
      </c>
      <c r="D21" s="3" t="s">
        <v>81</v>
      </c>
      <c r="E21" s="3" t="s">
        <v>11</v>
      </c>
      <c r="F21" s="3" t="s">
        <v>88</v>
      </c>
    </row>
    <row r="22" spans="2:6" x14ac:dyDescent="0.3">
      <c r="B22" s="3" t="s">
        <v>38</v>
      </c>
      <c r="C22" s="3">
        <v>2006</v>
      </c>
      <c r="D22" s="3" t="s">
        <v>82</v>
      </c>
      <c r="E22" s="3" t="s">
        <v>6</v>
      </c>
      <c r="F22" s="3" t="s">
        <v>88</v>
      </c>
    </row>
    <row r="23" spans="2:6" x14ac:dyDescent="0.3">
      <c r="B23" s="3" t="s">
        <v>40</v>
      </c>
      <c r="C23" s="3">
        <v>2010</v>
      </c>
      <c r="D23" s="3" t="s">
        <v>83</v>
      </c>
      <c r="E23" s="3" t="s">
        <v>11</v>
      </c>
      <c r="F23" s="3" t="s">
        <v>88</v>
      </c>
    </row>
    <row r="24" spans="2:6" x14ac:dyDescent="0.3">
      <c r="B24" s="3" t="s">
        <v>42</v>
      </c>
      <c r="C24" s="3">
        <v>2014</v>
      </c>
      <c r="D24" s="3" t="s">
        <v>84</v>
      </c>
      <c r="E24" s="3" t="s">
        <v>6</v>
      </c>
      <c r="F24" s="3" t="s">
        <v>88</v>
      </c>
    </row>
    <row r="25" spans="2:6" x14ac:dyDescent="0.3">
      <c r="B25" s="3" t="s">
        <v>44</v>
      </c>
      <c r="C25" s="3">
        <v>2018</v>
      </c>
      <c r="D25" s="3" t="s">
        <v>85</v>
      </c>
      <c r="E25" s="3" t="s">
        <v>35</v>
      </c>
      <c r="F25" s="3" t="s">
        <v>88</v>
      </c>
    </row>
    <row r="26" spans="2:6" x14ac:dyDescent="0.3">
      <c r="B26" s="3" t="s">
        <v>4</v>
      </c>
      <c r="C26" s="3">
        <v>1896</v>
      </c>
      <c r="D26" s="3" t="s">
        <v>5</v>
      </c>
      <c r="E26" s="3" t="s">
        <v>6</v>
      </c>
      <c r="F26" s="3" t="s">
        <v>89</v>
      </c>
    </row>
    <row r="27" spans="2:6" x14ac:dyDescent="0.3">
      <c r="B27" s="3" t="s">
        <v>7</v>
      </c>
      <c r="C27" s="3">
        <v>1900</v>
      </c>
      <c r="D27" s="3" t="s">
        <v>8</v>
      </c>
      <c r="E27" s="3" t="s">
        <v>6</v>
      </c>
      <c r="F27" s="3" t="s">
        <v>89</v>
      </c>
    </row>
    <row r="28" spans="2:6" x14ac:dyDescent="0.3">
      <c r="B28" s="3" t="s">
        <v>9</v>
      </c>
      <c r="C28" s="3">
        <v>1904</v>
      </c>
      <c r="D28" s="3" t="s">
        <v>10</v>
      </c>
      <c r="E28" s="3" t="s">
        <v>11</v>
      </c>
      <c r="F28" s="3" t="s">
        <v>89</v>
      </c>
    </row>
    <row r="29" spans="2:6" x14ac:dyDescent="0.3">
      <c r="B29" s="3" t="s">
        <v>12</v>
      </c>
      <c r="C29" s="3">
        <v>1908</v>
      </c>
      <c r="D29" s="3" t="s">
        <v>13</v>
      </c>
      <c r="E29" s="3" t="s">
        <v>6</v>
      </c>
      <c r="F29" s="3" t="s">
        <v>89</v>
      </c>
    </row>
    <row r="30" spans="2:6" x14ac:dyDescent="0.3">
      <c r="B30" s="3" t="s">
        <v>14</v>
      </c>
      <c r="C30" s="3">
        <v>1912</v>
      </c>
      <c r="D30" s="3" t="s">
        <v>15</v>
      </c>
      <c r="E30" s="3" t="s">
        <v>6</v>
      </c>
      <c r="F30" s="3" t="s">
        <v>89</v>
      </c>
    </row>
    <row r="31" spans="2:6" x14ac:dyDescent="0.3">
      <c r="B31" s="3" t="s">
        <v>16</v>
      </c>
      <c r="C31" s="3">
        <v>1920</v>
      </c>
      <c r="D31" s="3" t="s">
        <v>17</v>
      </c>
      <c r="E31" s="3" t="s">
        <v>6</v>
      </c>
      <c r="F31" s="3" t="s">
        <v>89</v>
      </c>
    </row>
    <row r="32" spans="2:6" x14ac:dyDescent="0.3">
      <c r="B32" s="3" t="s">
        <v>18</v>
      </c>
      <c r="C32" s="3">
        <v>1924</v>
      </c>
      <c r="D32" s="3" t="s">
        <v>8</v>
      </c>
      <c r="E32" s="3" t="s">
        <v>6</v>
      </c>
      <c r="F32" s="3" t="s">
        <v>89</v>
      </c>
    </row>
    <row r="33" spans="2:6" x14ac:dyDescent="0.3">
      <c r="B33" s="3" t="s">
        <v>19</v>
      </c>
      <c r="C33" s="3">
        <v>1928</v>
      </c>
      <c r="D33" s="3" t="s">
        <v>20</v>
      </c>
      <c r="E33" s="3" t="s">
        <v>6</v>
      </c>
      <c r="F33" s="3" t="s">
        <v>89</v>
      </c>
    </row>
    <row r="34" spans="2:6" x14ac:dyDescent="0.3">
      <c r="B34" s="3" t="s">
        <v>21</v>
      </c>
      <c r="C34" s="3">
        <v>1932</v>
      </c>
      <c r="D34" s="3" t="s">
        <v>22</v>
      </c>
      <c r="E34" s="3" t="s">
        <v>11</v>
      </c>
      <c r="F34" s="3" t="s">
        <v>89</v>
      </c>
    </row>
    <row r="35" spans="2:6" x14ac:dyDescent="0.3">
      <c r="B35" s="3" t="s">
        <v>23</v>
      </c>
      <c r="C35" s="3">
        <v>1936</v>
      </c>
      <c r="D35" s="3" t="s">
        <v>24</v>
      </c>
      <c r="E35" s="3" t="s">
        <v>6</v>
      </c>
      <c r="F35" s="3" t="s">
        <v>89</v>
      </c>
    </row>
    <row r="36" spans="2:6" x14ac:dyDescent="0.3">
      <c r="B36" s="3" t="s">
        <v>25</v>
      </c>
      <c r="C36" s="3">
        <v>1948</v>
      </c>
      <c r="D36" s="3" t="s">
        <v>13</v>
      </c>
      <c r="E36" s="3" t="s">
        <v>6</v>
      </c>
      <c r="F36" s="3" t="s">
        <v>89</v>
      </c>
    </row>
    <row r="37" spans="2:6" x14ac:dyDescent="0.3">
      <c r="B37" s="3" t="s">
        <v>26</v>
      </c>
      <c r="C37" s="3">
        <v>1952</v>
      </c>
      <c r="D37" s="3" t="s">
        <v>27</v>
      </c>
      <c r="E37" s="3" t="s">
        <v>6</v>
      </c>
      <c r="F37" s="3" t="s">
        <v>89</v>
      </c>
    </row>
    <row r="38" spans="2:6" x14ac:dyDescent="0.3">
      <c r="B38" s="3" t="s">
        <v>28</v>
      </c>
      <c r="C38" s="3">
        <v>1956</v>
      </c>
      <c r="D38" s="3" t="s">
        <v>29</v>
      </c>
      <c r="E38" s="3" t="s">
        <v>30</v>
      </c>
      <c r="F38" s="3" t="s">
        <v>89</v>
      </c>
    </row>
    <row r="39" spans="2:6" x14ac:dyDescent="0.3">
      <c r="B39" s="3" t="s">
        <v>31</v>
      </c>
      <c r="C39" s="3">
        <v>1960</v>
      </c>
      <c r="D39" s="3" t="s">
        <v>32</v>
      </c>
      <c r="E39" s="3" t="s">
        <v>6</v>
      </c>
      <c r="F39" s="3" t="s">
        <v>89</v>
      </c>
    </row>
    <row r="40" spans="2:6" x14ac:dyDescent="0.3">
      <c r="B40" s="3" t="s">
        <v>33</v>
      </c>
      <c r="C40" s="3">
        <v>1964</v>
      </c>
      <c r="D40" s="3" t="s">
        <v>34</v>
      </c>
      <c r="E40" s="3" t="s">
        <v>35</v>
      </c>
      <c r="F40" s="3" t="s">
        <v>89</v>
      </c>
    </row>
    <row r="41" spans="2:6" x14ac:dyDescent="0.3">
      <c r="B41" s="3" t="s">
        <v>36</v>
      </c>
      <c r="C41" s="3">
        <v>1968</v>
      </c>
      <c r="D41" s="3" t="s">
        <v>37</v>
      </c>
      <c r="E41" s="3" t="s">
        <v>11</v>
      </c>
      <c r="F41" s="3" t="s">
        <v>89</v>
      </c>
    </row>
    <row r="42" spans="2:6" x14ac:dyDescent="0.3">
      <c r="B42" s="3" t="s">
        <v>38</v>
      </c>
      <c r="C42" s="3">
        <v>1972</v>
      </c>
      <c r="D42" s="3" t="s">
        <v>39</v>
      </c>
      <c r="E42" s="3" t="s">
        <v>6</v>
      </c>
      <c r="F42" s="3" t="s">
        <v>89</v>
      </c>
    </row>
    <row r="43" spans="2:6" x14ac:dyDescent="0.3">
      <c r="B43" s="3" t="s">
        <v>40</v>
      </c>
      <c r="C43" s="3">
        <v>1976</v>
      </c>
      <c r="D43" s="3" t="s">
        <v>41</v>
      </c>
      <c r="E43" s="3" t="s">
        <v>11</v>
      </c>
      <c r="F43" s="3" t="s">
        <v>89</v>
      </c>
    </row>
    <row r="44" spans="2:6" x14ac:dyDescent="0.3">
      <c r="B44" s="3" t="s">
        <v>42</v>
      </c>
      <c r="C44" s="3">
        <v>1980</v>
      </c>
      <c r="D44" s="3" t="s">
        <v>43</v>
      </c>
      <c r="E44" s="3" t="s">
        <v>6</v>
      </c>
      <c r="F44" s="3" t="s">
        <v>89</v>
      </c>
    </row>
    <row r="45" spans="2:6" x14ac:dyDescent="0.3">
      <c r="B45" s="3" t="s">
        <v>44</v>
      </c>
      <c r="C45" s="3">
        <v>1984</v>
      </c>
      <c r="D45" s="3" t="s">
        <v>22</v>
      </c>
      <c r="E45" s="3" t="s">
        <v>11</v>
      </c>
      <c r="F45" s="3" t="s">
        <v>89</v>
      </c>
    </row>
    <row r="46" spans="2:6" x14ac:dyDescent="0.3">
      <c r="B46" s="3" t="s">
        <v>45</v>
      </c>
      <c r="C46" s="3">
        <v>1988</v>
      </c>
      <c r="D46" s="3" t="s">
        <v>46</v>
      </c>
      <c r="E46" s="3" t="s">
        <v>35</v>
      </c>
      <c r="F46" s="3" t="s">
        <v>89</v>
      </c>
    </row>
    <row r="47" spans="2:6" x14ac:dyDescent="0.3">
      <c r="B47" s="3" t="s">
        <v>47</v>
      </c>
      <c r="C47" s="3">
        <v>1992</v>
      </c>
      <c r="D47" s="3" t="s">
        <v>48</v>
      </c>
      <c r="E47" s="3" t="s">
        <v>6</v>
      </c>
      <c r="F47" s="3" t="s">
        <v>89</v>
      </c>
    </row>
    <row r="48" spans="2:6" x14ac:dyDescent="0.3">
      <c r="B48" s="3" t="s">
        <v>49</v>
      </c>
      <c r="C48" s="3">
        <v>1996</v>
      </c>
      <c r="D48" s="3" t="s">
        <v>50</v>
      </c>
      <c r="E48" s="3" t="s">
        <v>11</v>
      </c>
      <c r="F48" s="3" t="s">
        <v>89</v>
      </c>
    </row>
    <row r="49" spans="2:6" x14ac:dyDescent="0.3">
      <c r="B49" s="3" t="s">
        <v>51</v>
      </c>
      <c r="C49" s="3">
        <v>2000</v>
      </c>
      <c r="D49" s="3" t="s">
        <v>52</v>
      </c>
      <c r="E49" s="3" t="s">
        <v>30</v>
      </c>
      <c r="F49" s="3" t="s">
        <v>89</v>
      </c>
    </row>
    <row r="50" spans="2:6" x14ac:dyDescent="0.3">
      <c r="B50" s="3" t="s">
        <v>53</v>
      </c>
      <c r="C50" s="3">
        <v>2004</v>
      </c>
      <c r="D50" s="3" t="s">
        <v>5</v>
      </c>
      <c r="E50" s="3" t="s">
        <v>6</v>
      </c>
      <c r="F50" s="3" t="s">
        <v>89</v>
      </c>
    </row>
    <row r="51" spans="2:6" x14ac:dyDescent="0.3">
      <c r="B51" s="3" t="s">
        <v>54</v>
      </c>
      <c r="C51" s="3">
        <v>2008</v>
      </c>
      <c r="D51" s="3" t="s">
        <v>55</v>
      </c>
      <c r="E51" s="3" t="s">
        <v>35</v>
      </c>
      <c r="F51" s="3" t="s">
        <v>89</v>
      </c>
    </row>
    <row r="52" spans="2:6" x14ac:dyDescent="0.3">
      <c r="B52" s="3" t="s">
        <v>56</v>
      </c>
      <c r="C52" s="3">
        <v>2012</v>
      </c>
      <c r="D52" s="3" t="s">
        <v>13</v>
      </c>
      <c r="E52" s="3" t="s">
        <v>6</v>
      </c>
      <c r="F52" s="3" t="s">
        <v>89</v>
      </c>
    </row>
    <row r="53" spans="2:6" x14ac:dyDescent="0.3">
      <c r="B53" s="3" t="s">
        <v>57</v>
      </c>
      <c r="C53" s="3">
        <v>2016</v>
      </c>
      <c r="D53" s="3" t="s">
        <v>58</v>
      </c>
      <c r="E53" s="3" t="s">
        <v>59</v>
      </c>
      <c r="F53" s="3" t="s">
        <v>89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E3D53-D093-48E4-88DA-951DF05C7CB2}">
  <dimension ref="B2:C14"/>
  <sheetViews>
    <sheetView zoomScale="145" zoomScaleNormal="145" workbookViewId="0">
      <selection activeCell="H26" sqref="H26"/>
    </sheetView>
  </sheetViews>
  <sheetFormatPr defaultRowHeight="14.4" x14ac:dyDescent="0.3"/>
  <cols>
    <col min="1" max="1" width="2.88671875" customWidth="1"/>
    <col min="2" max="2" width="9.109375" style="3"/>
    <col min="3" max="3" width="14.88671875" style="3" customWidth="1"/>
    <col min="4" max="4" width="2.88671875" customWidth="1"/>
  </cols>
  <sheetData>
    <row r="2" spans="2:3" x14ac:dyDescent="0.3">
      <c r="B2" s="3" t="s">
        <v>92</v>
      </c>
      <c r="C2" s="3" t="s">
        <v>93</v>
      </c>
    </row>
    <row r="3" spans="2:3" x14ac:dyDescent="0.3">
      <c r="B3" s="3" t="s">
        <v>94</v>
      </c>
      <c r="C3" s="3">
        <v>69</v>
      </c>
    </row>
    <row r="4" spans="2:3" x14ac:dyDescent="0.3">
      <c r="B4" s="3" t="s">
        <v>95</v>
      </c>
      <c r="C4" s="3">
        <v>73</v>
      </c>
    </row>
    <row r="5" spans="2:3" x14ac:dyDescent="0.3">
      <c r="B5" s="3" t="s">
        <v>96</v>
      </c>
      <c r="C5" s="3">
        <v>78</v>
      </c>
    </row>
    <row r="6" spans="2:3" x14ac:dyDescent="0.3">
      <c r="B6" s="3" t="s">
        <v>97</v>
      </c>
      <c r="C6" s="3">
        <v>86</v>
      </c>
    </row>
    <row r="7" spans="2:3" x14ac:dyDescent="0.3">
      <c r="B7" s="3" t="s">
        <v>98</v>
      </c>
      <c r="C7" s="3">
        <v>95</v>
      </c>
    </row>
    <row r="8" spans="2:3" x14ac:dyDescent="0.3">
      <c r="B8" s="3" t="s">
        <v>99</v>
      </c>
      <c r="C8" s="3">
        <v>103</v>
      </c>
    </row>
    <row r="9" spans="2:3" x14ac:dyDescent="0.3">
      <c r="B9" s="3" t="s">
        <v>100</v>
      </c>
      <c r="C9" s="3">
        <v>105</v>
      </c>
    </row>
    <row r="10" spans="2:3" x14ac:dyDescent="0.3">
      <c r="B10" s="3" t="s">
        <v>101</v>
      </c>
      <c r="C10" s="3">
        <v>103</v>
      </c>
    </row>
    <row r="11" spans="2:3" x14ac:dyDescent="0.3">
      <c r="B11" s="3" t="s">
        <v>102</v>
      </c>
      <c r="C11" s="3">
        <v>100</v>
      </c>
    </row>
    <row r="12" spans="2:3" x14ac:dyDescent="0.3">
      <c r="B12" s="3" t="s">
        <v>103</v>
      </c>
      <c r="C12" s="3">
        <v>89</v>
      </c>
    </row>
    <row r="13" spans="2:3" x14ac:dyDescent="0.3">
      <c r="B13" s="3" t="s">
        <v>104</v>
      </c>
      <c r="C13" s="3">
        <v>78</v>
      </c>
    </row>
    <row r="14" spans="2:3" x14ac:dyDescent="0.3">
      <c r="B14" s="3" t="s">
        <v>105</v>
      </c>
      <c r="C14" s="3">
        <v>68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267B-517A-4520-BF63-0BB3186D595F}">
  <dimension ref="B2:G26"/>
  <sheetViews>
    <sheetView tabSelected="1" topLeftCell="H1" zoomScale="250" zoomScaleNormal="250" workbookViewId="0">
      <selection activeCell="Q3" sqref="Q3"/>
    </sheetView>
  </sheetViews>
  <sheetFormatPr defaultRowHeight="14.4" x14ac:dyDescent="0.3"/>
  <cols>
    <col min="1" max="1" width="3.109375" customWidth="1"/>
    <col min="2" max="2" width="8.6640625" style="3" bestFit="1" customWidth="1"/>
    <col min="3" max="3" width="15" style="3" bestFit="1" customWidth="1"/>
    <col min="4" max="4" width="9.6640625" style="3" bestFit="1" customWidth="1"/>
    <col min="5" max="5" width="3.109375" style="3" customWidth="1"/>
    <col min="6" max="6" width="12.5546875" style="3" bestFit="1" customWidth="1"/>
    <col min="7" max="7" width="17.21875" style="3" bestFit="1" customWidth="1"/>
  </cols>
  <sheetData>
    <row r="2" spans="2:7" x14ac:dyDescent="0.3">
      <c r="B2" s="3" t="s">
        <v>106</v>
      </c>
      <c r="C2" s="3" t="s">
        <v>107</v>
      </c>
      <c r="D2" s="3" t="s">
        <v>108</v>
      </c>
      <c r="F2" s="5" t="s">
        <v>60</v>
      </c>
      <c r="G2" s="3" t="s">
        <v>110</v>
      </c>
    </row>
    <row r="3" spans="2:7" x14ac:dyDescent="0.3">
      <c r="B3" s="3">
        <v>30</v>
      </c>
      <c r="C3" s="4">
        <v>5500</v>
      </c>
      <c r="D3" s="4">
        <v>5500</v>
      </c>
      <c r="F3" s="3">
        <v>30</v>
      </c>
      <c r="G3" s="6">
        <v>5500</v>
      </c>
    </row>
    <row r="4" spans="2:7" x14ac:dyDescent="0.3">
      <c r="B4" s="3">
        <v>31</v>
      </c>
      <c r="C4" s="4">
        <v>5500</v>
      </c>
      <c r="D4" s="4">
        <f>D3+Table5[[#This Row],[Investment]]</f>
        <v>11000</v>
      </c>
      <c r="F4" s="3">
        <v>31</v>
      </c>
      <c r="G4" s="6">
        <v>5500</v>
      </c>
    </row>
    <row r="5" spans="2:7" x14ac:dyDescent="0.3">
      <c r="B5" s="3">
        <v>32</v>
      </c>
      <c r="C5" s="4">
        <v>5500</v>
      </c>
      <c r="D5" s="4">
        <f>D4+Table5[[#This Row],[Investment]]</f>
        <v>16500</v>
      </c>
      <c r="F5" s="3">
        <v>32</v>
      </c>
      <c r="G5" s="6">
        <v>5500</v>
      </c>
    </row>
    <row r="6" spans="2:7" x14ac:dyDescent="0.3">
      <c r="B6" s="3">
        <v>33</v>
      </c>
      <c r="C6" s="4">
        <v>5500</v>
      </c>
      <c r="D6" s="4">
        <f>D5+Table5[[#This Row],[Investment]]</f>
        <v>22000</v>
      </c>
      <c r="F6" s="3">
        <v>33</v>
      </c>
      <c r="G6" s="6">
        <v>5500</v>
      </c>
    </row>
    <row r="7" spans="2:7" x14ac:dyDescent="0.3">
      <c r="B7" s="3">
        <v>34</v>
      </c>
      <c r="C7" s="4">
        <v>5500</v>
      </c>
      <c r="D7" s="4">
        <f>D6+Table5[[#This Row],[Investment]]</f>
        <v>27500</v>
      </c>
      <c r="F7" s="3">
        <v>34</v>
      </c>
      <c r="G7" s="6">
        <v>5500</v>
      </c>
    </row>
    <row r="8" spans="2:7" x14ac:dyDescent="0.3">
      <c r="B8" s="3">
        <v>35</v>
      </c>
      <c r="C8" s="4">
        <v>5500</v>
      </c>
      <c r="D8" s="4">
        <f>D7+Table5[[#This Row],[Investment]]</f>
        <v>33000</v>
      </c>
      <c r="F8" s="3">
        <v>35</v>
      </c>
      <c r="G8" s="6">
        <v>5500</v>
      </c>
    </row>
    <row r="9" spans="2:7" x14ac:dyDescent="0.3">
      <c r="B9" s="3">
        <v>36</v>
      </c>
      <c r="C9" s="4">
        <v>5500</v>
      </c>
      <c r="D9" s="4">
        <f>D8+Table5[[#This Row],[Investment]]</f>
        <v>38500</v>
      </c>
      <c r="F9" s="3">
        <v>36</v>
      </c>
      <c r="G9" s="6">
        <v>5500</v>
      </c>
    </row>
    <row r="10" spans="2:7" x14ac:dyDescent="0.3">
      <c r="B10" s="3">
        <v>37</v>
      </c>
      <c r="C10" s="4">
        <v>5500</v>
      </c>
      <c r="D10" s="4">
        <f>D9+Table5[[#This Row],[Investment]]</f>
        <v>44000</v>
      </c>
      <c r="F10" s="3">
        <v>37</v>
      </c>
      <c r="G10" s="6">
        <v>5500</v>
      </c>
    </row>
    <row r="11" spans="2:7" x14ac:dyDescent="0.3">
      <c r="B11" s="3">
        <v>38</v>
      </c>
      <c r="C11" s="4">
        <v>5500</v>
      </c>
      <c r="D11" s="4">
        <f>D10+Table5[[#This Row],[Investment]]</f>
        <v>49500</v>
      </c>
      <c r="F11" s="3">
        <v>38</v>
      </c>
      <c r="G11" s="6">
        <v>5500</v>
      </c>
    </row>
    <row r="12" spans="2:7" x14ac:dyDescent="0.3">
      <c r="B12" s="3">
        <v>39</v>
      </c>
      <c r="C12" s="4">
        <v>5500</v>
      </c>
      <c r="D12" s="4">
        <f>D11+Table5[[#This Row],[Investment]]</f>
        <v>55000</v>
      </c>
      <c r="F12" s="3">
        <v>39</v>
      </c>
      <c r="G12" s="6">
        <v>5500</v>
      </c>
    </row>
    <row r="13" spans="2:7" x14ac:dyDescent="0.3">
      <c r="F13" s="3" t="s">
        <v>61</v>
      </c>
      <c r="G13" s="4">
        <v>55000</v>
      </c>
    </row>
    <row r="15" spans="2:7" x14ac:dyDescent="0.3">
      <c r="F15" s="5" t="s">
        <v>60</v>
      </c>
      <c r="G15" s="3" t="s">
        <v>109</v>
      </c>
    </row>
    <row r="16" spans="2:7" x14ac:dyDescent="0.3">
      <c r="F16" s="3">
        <v>30</v>
      </c>
      <c r="G16" s="3">
        <v>5500</v>
      </c>
    </row>
    <row r="17" spans="6:7" x14ac:dyDescent="0.3">
      <c r="F17" s="3">
        <v>31</v>
      </c>
      <c r="G17" s="3">
        <v>11000</v>
      </c>
    </row>
    <row r="18" spans="6:7" x14ac:dyDescent="0.3">
      <c r="F18" s="3">
        <v>32</v>
      </c>
      <c r="G18" s="3">
        <v>16500</v>
      </c>
    </row>
    <row r="19" spans="6:7" x14ac:dyDescent="0.3">
      <c r="F19" s="3">
        <v>33</v>
      </c>
      <c r="G19" s="3">
        <v>22000</v>
      </c>
    </row>
    <row r="20" spans="6:7" x14ac:dyDescent="0.3">
      <c r="F20" s="3">
        <v>34</v>
      </c>
      <c r="G20" s="3">
        <v>27500</v>
      </c>
    </row>
    <row r="21" spans="6:7" x14ac:dyDescent="0.3">
      <c r="F21" s="3">
        <v>35</v>
      </c>
      <c r="G21" s="3">
        <v>33000</v>
      </c>
    </row>
    <row r="22" spans="6:7" x14ac:dyDescent="0.3">
      <c r="F22" s="3">
        <v>36</v>
      </c>
      <c r="G22" s="3">
        <v>38500</v>
      </c>
    </row>
    <row r="23" spans="6:7" x14ac:dyDescent="0.3">
      <c r="F23" s="3">
        <v>37</v>
      </c>
      <c r="G23" s="3">
        <v>44000</v>
      </c>
    </row>
    <row r="24" spans="6:7" x14ac:dyDescent="0.3">
      <c r="F24" s="3">
        <v>38</v>
      </c>
      <c r="G24" s="3">
        <v>49500</v>
      </c>
    </row>
    <row r="25" spans="6:7" x14ac:dyDescent="0.3">
      <c r="F25" s="3">
        <v>39</v>
      </c>
      <c r="G25" s="3">
        <v>55000</v>
      </c>
    </row>
    <row r="26" spans="6:7" x14ac:dyDescent="0.3">
      <c r="F26" s="3" t="s">
        <v>61</v>
      </c>
      <c r="G26" s="3">
        <v>302500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oly_summergames_dataset</vt:lpstr>
      <vt:lpstr>oly_wintergames_dataset</vt:lpstr>
      <vt:lpstr>combine_olympics</vt:lpstr>
      <vt:lpstr>avgtemp_dataset</vt:lpstr>
      <vt:lpstr>savings_dataset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Decr0zeath</dc:creator>
  <cp:lastModifiedBy>Decr0zeath</cp:lastModifiedBy>
  <dcterms:created xsi:type="dcterms:W3CDTF">2026-01-25T17:03:29Z</dcterms:created>
  <dcterms:modified xsi:type="dcterms:W3CDTF">2026-02-26T16:55:34Z</dcterms:modified>
</cp:coreProperties>
</file>