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cr0zeath\Downloads\GITFILES\USJR-Gradingsheet-SAS\"/>
    </mc:Choice>
  </mc:AlternateContent>
  <xr:revisionPtr revIDLastSave="0" documentId="13_ncr:1_{293DE9CF-0EF3-4C8A-9603-928D499E6C60}" xr6:coauthVersionLast="47" xr6:coauthVersionMax="47" xr10:uidLastSave="{00000000-0000-0000-0000-000000000000}"/>
  <bookViews>
    <workbookView xWindow="-108" yWindow="-108" windowWidth="30936" windowHeight="16896" firstSheet="1" activeTab="2" xr2:uid="{CB81601C-B607-4235-98D9-F7DC0945AEAF}"/>
  </bookViews>
  <sheets>
    <sheet name="CellRefConfig" sheetId="10" state="veryHidden" r:id="rId1"/>
    <sheet name="Attendance Sheet" sheetId="7" r:id="rId2"/>
    <sheet name="PRELIM" sheetId="8" r:id="rId3"/>
    <sheet name="MIDTERM" sheetId="34" r:id="rId4"/>
    <sheet name="FINALS" sheetId="32" r:id="rId5"/>
    <sheet name="Grade Config" sheetId="4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1" i="32" l="1"/>
  <c r="Z70" i="32"/>
  <c r="Z69" i="32"/>
  <c r="Z68" i="32"/>
  <c r="Z67" i="32"/>
  <c r="Z66" i="32"/>
  <c r="Z65" i="32"/>
  <c r="Z64" i="32"/>
  <c r="Z63" i="32"/>
  <c r="Z62" i="32"/>
  <c r="Z61" i="32"/>
  <c r="Z60" i="32"/>
  <c r="Z59" i="32"/>
  <c r="Z58" i="32"/>
  <c r="Z57" i="32"/>
  <c r="Z56" i="32"/>
  <c r="Z55" i="32"/>
  <c r="Z54" i="32"/>
  <c r="Z53" i="32"/>
  <c r="Z52" i="32"/>
  <c r="Z51" i="32"/>
  <c r="Z50" i="32"/>
  <c r="Z49" i="32"/>
  <c r="Z48" i="32"/>
  <c r="Z47" i="32"/>
  <c r="Z46" i="32"/>
  <c r="Z45" i="32"/>
  <c r="Z44" i="32"/>
  <c r="Z43" i="32"/>
  <c r="Z42" i="32"/>
  <c r="Z41" i="32"/>
  <c r="Z40" i="32"/>
  <c r="Z39" i="32"/>
  <c r="Z38" i="32"/>
  <c r="Z37" i="32"/>
  <c r="Z36" i="32"/>
  <c r="Z35" i="32"/>
  <c r="Z34" i="32"/>
  <c r="Z33" i="32"/>
  <c r="Z32" i="32"/>
  <c r="Z31" i="32"/>
  <c r="Z30" i="32"/>
  <c r="Z29" i="32"/>
  <c r="Z28" i="32"/>
  <c r="Z27" i="32"/>
  <c r="Z26" i="32"/>
  <c r="Z25" i="32"/>
  <c r="Z24" i="32"/>
  <c r="Z23" i="32"/>
  <c r="Z22" i="32"/>
  <c r="Z21" i="32"/>
  <c r="Z20" i="32"/>
  <c r="Z19" i="32"/>
  <c r="Z18" i="32"/>
  <c r="Z17" i="32"/>
  <c r="Z16" i="32"/>
  <c r="X71" i="32"/>
  <c r="X70" i="32"/>
  <c r="X69" i="32"/>
  <c r="X68" i="32"/>
  <c r="X67" i="32"/>
  <c r="X66" i="32"/>
  <c r="X65" i="32"/>
  <c r="X64" i="32"/>
  <c r="X63" i="32"/>
  <c r="X62" i="32"/>
  <c r="X61" i="32"/>
  <c r="X60" i="32"/>
  <c r="X59" i="32"/>
  <c r="X58" i="32"/>
  <c r="X57" i="32"/>
  <c r="X56" i="32"/>
  <c r="X55" i="32"/>
  <c r="X54" i="32"/>
  <c r="X53" i="32"/>
  <c r="X52" i="32"/>
  <c r="X51" i="32"/>
  <c r="X50" i="32"/>
  <c r="X49" i="32"/>
  <c r="X48" i="32"/>
  <c r="X47" i="32"/>
  <c r="X46" i="32"/>
  <c r="X45" i="32"/>
  <c r="X44" i="32"/>
  <c r="X43" i="32"/>
  <c r="X42" i="32"/>
  <c r="X41" i="32"/>
  <c r="X40" i="32"/>
  <c r="X39" i="32"/>
  <c r="X38" i="32"/>
  <c r="X37" i="32"/>
  <c r="X36" i="32"/>
  <c r="X35" i="32"/>
  <c r="X34" i="32"/>
  <c r="X33" i="32"/>
  <c r="X32" i="32"/>
  <c r="X31" i="32"/>
  <c r="X30" i="32"/>
  <c r="X29" i="32"/>
  <c r="X28" i="32"/>
  <c r="X27" i="32"/>
  <c r="X26" i="32"/>
  <c r="X25" i="32"/>
  <c r="X24" i="32"/>
  <c r="X23" i="32"/>
  <c r="X22" i="32"/>
  <c r="X21" i="32"/>
  <c r="X20" i="32"/>
  <c r="X19" i="32"/>
  <c r="X18" i="32"/>
  <c r="X17" i="32"/>
  <c r="X16" i="32"/>
  <c r="V71" i="32"/>
  <c r="V70" i="32"/>
  <c r="V69" i="32"/>
  <c r="V68" i="32"/>
  <c r="V67" i="32"/>
  <c r="V66" i="32"/>
  <c r="V65" i="32"/>
  <c r="V64" i="32"/>
  <c r="V63" i="32"/>
  <c r="V62" i="32"/>
  <c r="V61" i="32"/>
  <c r="V60" i="32"/>
  <c r="V59" i="32"/>
  <c r="V58" i="32"/>
  <c r="V57" i="32"/>
  <c r="V56" i="32"/>
  <c r="V55" i="32"/>
  <c r="V54" i="32"/>
  <c r="V53" i="32"/>
  <c r="V52" i="32"/>
  <c r="V51" i="32"/>
  <c r="V50" i="32"/>
  <c r="V49" i="32"/>
  <c r="V48" i="32"/>
  <c r="V47" i="32"/>
  <c r="V46" i="32"/>
  <c r="V45" i="32"/>
  <c r="V44" i="32"/>
  <c r="V43" i="32"/>
  <c r="V42" i="32"/>
  <c r="V41" i="32"/>
  <c r="V40" i="32"/>
  <c r="V39" i="32"/>
  <c r="V38" i="32"/>
  <c r="V37" i="32"/>
  <c r="V36" i="32"/>
  <c r="V35" i="32"/>
  <c r="V34" i="32"/>
  <c r="V33" i="32"/>
  <c r="V32" i="32"/>
  <c r="V31" i="32"/>
  <c r="V30" i="32"/>
  <c r="V29" i="32"/>
  <c r="V28" i="32"/>
  <c r="V27" i="32"/>
  <c r="V26" i="32"/>
  <c r="V25" i="32"/>
  <c r="V24" i="32"/>
  <c r="V23" i="32"/>
  <c r="V22" i="32"/>
  <c r="V21" i="32"/>
  <c r="V20" i="32"/>
  <c r="V19" i="32"/>
  <c r="V18" i="32"/>
  <c r="V17" i="32"/>
  <c r="V16" i="32"/>
  <c r="T71" i="32"/>
  <c r="T70" i="32"/>
  <c r="T69" i="32"/>
  <c r="T68" i="32"/>
  <c r="T67" i="32"/>
  <c r="T66" i="32"/>
  <c r="T65" i="32"/>
  <c r="T64" i="32"/>
  <c r="T63" i="32"/>
  <c r="T62" i="32"/>
  <c r="T61" i="32"/>
  <c r="T60" i="32"/>
  <c r="T59" i="32"/>
  <c r="T58" i="32"/>
  <c r="T57" i="32"/>
  <c r="T56" i="32"/>
  <c r="T55" i="32"/>
  <c r="T54" i="32"/>
  <c r="T53" i="32"/>
  <c r="T52" i="32"/>
  <c r="T51" i="32"/>
  <c r="T50" i="32"/>
  <c r="T49" i="32"/>
  <c r="T48" i="32"/>
  <c r="T47" i="32"/>
  <c r="T46" i="32"/>
  <c r="T45" i="32"/>
  <c r="T44" i="32"/>
  <c r="T43" i="32"/>
  <c r="T42" i="32"/>
  <c r="T41" i="32"/>
  <c r="T40" i="32"/>
  <c r="T39" i="32"/>
  <c r="T38" i="32"/>
  <c r="T37" i="32"/>
  <c r="T36" i="32"/>
  <c r="T35" i="32"/>
  <c r="T34" i="32"/>
  <c r="T33" i="32"/>
  <c r="T32" i="32"/>
  <c r="T31" i="32"/>
  <c r="T30" i="32"/>
  <c r="T29" i="32"/>
  <c r="T28" i="32"/>
  <c r="T27" i="32"/>
  <c r="T26" i="32"/>
  <c r="T25" i="32"/>
  <c r="T24" i="32"/>
  <c r="T23" i="32"/>
  <c r="T22" i="32"/>
  <c r="T21" i="32"/>
  <c r="T20" i="32"/>
  <c r="T19" i="32"/>
  <c r="T18" i="32"/>
  <c r="T17" i="32"/>
  <c r="T16" i="32"/>
  <c r="R71" i="32"/>
  <c r="R70" i="32"/>
  <c r="R69" i="32"/>
  <c r="R68" i="32"/>
  <c r="R67" i="32"/>
  <c r="R66" i="32"/>
  <c r="R65" i="32"/>
  <c r="R64" i="32"/>
  <c r="R63" i="32"/>
  <c r="R62" i="32"/>
  <c r="R61" i="32"/>
  <c r="R60" i="32"/>
  <c r="R59" i="32"/>
  <c r="R58" i="32"/>
  <c r="R57" i="32"/>
  <c r="R56" i="32"/>
  <c r="R55" i="32"/>
  <c r="R54" i="32"/>
  <c r="R53" i="32"/>
  <c r="R52" i="32"/>
  <c r="R51" i="32"/>
  <c r="R50" i="32"/>
  <c r="R49" i="32"/>
  <c r="R48" i="32"/>
  <c r="R47" i="32"/>
  <c r="R46" i="32"/>
  <c r="R45" i="32"/>
  <c r="R44" i="32"/>
  <c r="R43" i="32"/>
  <c r="R42" i="32"/>
  <c r="R41" i="32"/>
  <c r="R40" i="32"/>
  <c r="R39" i="32"/>
  <c r="R38" i="32"/>
  <c r="R37" i="32"/>
  <c r="R36" i="32"/>
  <c r="R35" i="32"/>
  <c r="R34" i="32"/>
  <c r="R33" i="32"/>
  <c r="R32" i="32"/>
  <c r="R31" i="32"/>
  <c r="R30" i="32"/>
  <c r="R29" i="32"/>
  <c r="R28" i="32"/>
  <c r="R27" i="32"/>
  <c r="R26" i="32"/>
  <c r="R25" i="32"/>
  <c r="R24" i="32"/>
  <c r="R23" i="32"/>
  <c r="R22" i="32"/>
  <c r="R21" i="32"/>
  <c r="R20" i="32"/>
  <c r="R19" i="32"/>
  <c r="R18" i="32"/>
  <c r="R17" i="32"/>
  <c r="R16" i="32"/>
  <c r="P71" i="32"/>
  <c r="P70" i="32"/>
  <c r="P69" i="32"/>
  <c r="P68" i="32"/>
  <c r="P67" i="32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P42" i="32"/>
  <c r="P41" i="32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P20" i="32"/>
  <c r="P19" i="32"/>
  <c r="P18" i="32"/>
  <c r="P17" i="32"/>
  <c r="P16" i="32"/>
  <c r="N71" i="32"/>
  <c r="N70" i="32"/>
  <c r="N69" i="32"/>
  <c r="N68" i="32"/>
  <c r="N67" i="32"/>
  <c r="N66" i="32"/>
  <c r="N65" i="32"/>
  <c r="N64" i="32"/>
  <c r="N63" i="32"/>
  <c r="N62" i="32"/>
  <c r="N61" i="32"/>
  <c r="N60" i="32"/>
  <c r="N59" i="32"/>
  <c r="N58" i="32"/>
  <c r="N57" i="32"/>
  <c r="N56" i="32"/>
  <c r="N55" i="32"/>
  <c r="N54" i="32"/>
  <c r="N53" i="32"/>
  <c r="N52" i="32"/>
  <c r="N51" i="32"/>
  <c r="N50" i="32"/>
  <c r="N49" i="32"/>
  <c r="N48" i="32"/>
  <c r="N47" i="32"/>
  <c r="N46" i="32"/>
  <c r="N45" i="32"/>
  <c r="N44" i="32"/>
  <c r="N43" i="32"/>
  <c r="N42" i="32"/>
  <c r="N41" i="32"/>
  <c r="N40" i="32"/>
  <c r="N39" i="32"/>
  <c r="N38" i="32"/>
  <c r="N37" i="32"/>
  <c r="N36" i="32"/>
  <c r="N35" i="32"/>
  <c r="N34" i="32"/>
  <c r="N33" i="32"/>
  <c r="N32" i="32"/>
  <c r="N31" i="32"/>
  <c r="N30" i="32"/>
  <c r="N29" i="32"/>
  <c r="N28" i="32"/>
  <c r="N27" i="32"/>
  <c r="N26" i="32"/>
  <c r="N25" i="32"/>
  <c r="N24" i="32"/>
  <c r="N23" i="32"/>
  <c r="N22" i="32"/>
  <c r="N21" i="32"/>
  <c r="N20" i="32"/>
  <c r="N19" i="32"/>
  <c r="N18" i="32"/>
  <c r="N17" i="32"/>
  <c r="N16" i="32"/>
  <c r="L71" i="32"/>
  <c r="L70" i="32"/>
  <c r="L69" i="32"/>
  <c r="L68" i="32"/>
  <c r="L67" i="32"/>
  <c r="L66" i="32"/>
  <c r="L65" i="32"/>
  <c r="L64" i="32"/>
  <c r="L63" i="32"/>
  <c r="L62" i="32"/>
  <c r="L61" i="32"/>
  <c r="L60" i="32"/>
  <c r="L59" i="32"/>
  <c r="L58" i="32"/>
  <c r="L57" i="32"/>
  <c r="L56" i="32"/>
  <c r="L55" i="32"/>
  <c r="L54" i="32"/>
  <c r="L53" i="32"/>
  <c r="L52" i="32"/>
  <c r="L51" i="32"/>
  <c r="L50" i="32"/>
  <c r="L49" i="32"/>
  <c r="L48" i="32"/>
  <c r="L47" i="32"/>
  <c r="L46" i="32"/>
  <c r="L45" i="32"/>
  <c r="L44" i="32"/>
  <c r="L43" i="32"/>
  <c r="L42" i="32"/>
  <c r="L41" i="32"/>
  <c r="L40" i="32"/>
  <c r="L39" i="32"/>
  <c r="L38" i="32"/>
  <c r="L37" i="32"/>
  <c r="L36" i="32"/>
  <c r="L35" i="32"/>
  <c r="L34" i="32"/>
  <c r="L33" i="32"/>
  <c r="L32" i="32"/>
  <c r="L31" i="32"/>
  <c r="L30" i="32"/>
  <c r="L29" i="32"/>
  <c r="L28" i="32"/>
  <c r="L27" i="32"/>
  <c r="L26" i="32"/>
  <c r="L25" i="32"/>
  <c r="L24" i="32"/>
  <c r="L23" i="32"/>
  <c r="L22" i="32"/>
  <c r="L21" i="32"/>
  <c r="L20" i="32"/>
  <c r="L19" i="32"/>
  <c r="L18" i="32"/>
  <c r="L17" i="32"/>
  <c r="L16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H71" i="32"/>
  <c r="H70" i="32"/>
  <c r="H69" i="32"/>
  <c r="H68" i="32"/>
  <c r="H67" i="32"/>
  <c r="H66" i="32"/>
  <c r="H65" i="32"/>
  <c r="H64" i="32"/>
  <c r="H63" i="32"/>
  <c r="H62" i="32"/>
  <c r="H61" i="32"/>
  <c r="H60" i="32"/>
  <c r="H59" i="32"/>
  <c r="H58" i="32"/>
  <c r="H57" i="32"/>
  <c r="H56" i="32"/>
  <c r="H55" i="32"/>
  <c r="H54" i="32"/>
  <c r="H53" i="32"/>
  <c r="H52" i="32"/>
  <c r="H51" i="32"/>
  <c r="H50" i="32"/>
  <c r="H49" i="32"/>
  <c r="H48" i="32"/>
  <c r="H47" i="32"/>
  <c r="H46" i="32"/>
  <c r="H45" i="32"/>
  <c r="H44" i="32"/>
  <c r="H43" i="32"/>
  <c r="H42" i="32"/>
  <c r="H41" i="32"/>
  <c r="H40" i="32"/>
  <c r="H39" i="32"/>
  <c r="H38" i="32"/>
  <c r="H37" i="32"/>
  <c r="H36" i="32"/>
  <c r="H35" i="32"/>
  <c r="H34" i="32"/>
  <c r="H33" i="32"/>
  <c r="H32" i="32"/>
  <c r="H31" i="32"/>
  <c r="H30" i="32"/>
  <c r="H29" i="32"/>
  <c r="H28" i="32"/>
  <c r="H27" i="32"/>
  <c r="H26" i="32"/>
  <c r="H25" i="32"/>
  <c r="H24" i="32"/>
  <c r="H23" i="32"/>
  <c r="H22" i="32"/>
  <c r="H21" i="32"/>
  <c r="H20" i="32"/>
  <c r="H19" i="32"/>
  <c r="H18" i="32"/>
  <c r="H17" i="32"/>
  <c r="H16" i="32"/>
  <c r="Z71" i="34"/>
  <c r="Z70" i="34"/>
  <c r="Z69" i="34"/>
  <c r="Z68" i="34"/>
  <c r="Z67" i="34"/>
  <c r="Z66" i="34"/>
  <c r="Z65" i="34"/>
  <c r="Z64" i="34"/>
  <c r="Z63" i="34"/>
  <c r="Z62" i="34"/>
  <c r="Z61" i="34"/>
  <c r="Z60" i="34"/>
  <c r="Z59" i="34"/>
  <c r="Z58" i="34"/>
  <c r="Z57" i="34"/>
  <c r="Z56" i="34"/>
  <c r="Z55" i="34"/>
  <c r="Z54" i="34"/>
  <c r="Z53" i="34"/>
  <c r="Z52" i="34"/>
  <c r="Z51" i="34"/>
  <c r="Z50" i="34"/>
  <c r="Z49" i="34"/>
  <c r="Z48" i="34"/>
  <c r="Z47" i="34"/>
  <c r="Z46" i="34"/>
  <c r="Z45" i="34"/>
  <c r="Z44" i="34"/>
  <c r="Z43" i="34"/>
  <c r="Z42" i="34"/>
  <c r="Z41" i="34"/>
  <c r="Z40" i="34"/>
  <c r="Z39" i="34"/>
  <c r="Z38" i="34"/>
  <c r="Z37" i="34"/>
  <c r="Z36" i="34"/>
  <c r="Z35" i="34"/>
  <c r="Z34" i="34"/>
  <c r="Z33" i="34"/>
  <c r="Z32" i="34"/>
  <c r="Z31" i="34"/>
  <c r="Z30" i="34"/>
  <c r="Z29" i="34"/>
  <c r="Z28" i="34"/>
  <c r="Z27" i="34"/>
  <c r="Z26" i="34"/>
  <c r="Z25" i="34"/>
  <c r="Z24" i="34"/>
  <c r="Z23" i="34"/>
  <c r="Z22" i="34"/>
  <c r="Z21" i="34"/>
  <c r="Z20" i="34"/>
  <c r="Z19" i="34"/>
  <c r="Z18" i="34"/>
  <c r="Z17" i="34"/>
  <c r="Z16" i="34"/>
  <c r="X71" i="34"/>
  <c r="X70" i="34"/>
  <c r="X69" i="34"/>
  <c r="X68" i="34"/>
  <c r="X67" i="34"/>
  <c r="X66" i="34"/>
  <c r="X65" i="34"/>
  <c r="X64" i="34"/>
  <c r="X63" i="34"/>
  <c r="X62" i="34"/>
  <c r="X61" i="34"/>
  <c r="X60" i="34"/>
  <c r="X59" i="34"/>
  <c r="X58" i="34"/>
  <c r="X57" i="34"/>
  <c r="X56" i="34"/>
  <c r="X55" i="34"/>
  <c r="X54" i="34"/>
  <c r="X53" i="34"/>
  <c r="X52" i="34"/>
  <c r="X51" i="34"/>
  <c r="X50" i="34"/>
  <c r="X49" i="34"/>
  <c r="X48" i="34"/>
  <c r="X47" i="34"/>
  <c r="X46" i="34"/>
  <c r="X45" i="34"/>
  <c r="X44" i="34"/>
  <c r="X43" i="34"/>
  <c r="X42" i="34"/>
  <c r="X41" i="34"/>
  <c r="X40" i="34"/>
  <c r="X39" i="34"/>
  <c r="X38" i="34"/>
  <c r="X37" i="34"/>
  <c r="X36" i="34"/>
  <c r="X35" i="34"/>
  <c r="X34" i="34"/>
  <c r="X33" i="34"/>
  <c r="X32" i="34"/>
  <c r="X31" i="34"/>
  <c r="X30" i="34"/>
  <c r="X29" i="34"/>
  <c r="X28" i="34"/>
  <c r="X27" i="34"/>
  <c r="X26" i="34"/>
  <c r="X25" i="34"/>
  <c r="X24" i="34"/>
  <c r="X23" i="34"/>
  <c r="X22" i="34"/>
  <c r="X21" i="34"/>
  <c r="X20" i="34"/>
  <c r="X19" i="34"/>
  <c r="X18" i="34"/>
  <c r="X17" i="34"/>
  <c r="X16" i="34"/>
  <c r="V71" i="34"/>
  <c r="V70" i="34"/>
  <c r="V69" i="34"/>
  <c r="V68" i="34"/>
  <c r="V67" i="34"/>
  <c r="V66" i="34"/>
  <c r="V65" i="34"/>
  <c r="V64" i="34"/>
  <c r="V63" i="34"/>
  <c r="V62" i="34"/>
  <c r="V61" i="34"/>
  <c r="V60" i="34"/>
  <c r="V59" i="34"/>
  <c r="V58" i="34"/>
  <c r="V57" i="34"/>
  <c r="V56" i="34"/>
  <c r="V55" i="34"/>
  <c r="V54" i="34"/>
  <c r="V53" i="34"/>
  <c r="V52" i="34"/>
  <c r="V51" i="34"/>
  <c r="V50" i="34"/>
  <c r="V49" i="34"/>
  <c r="V48" i="34"/>
  <c r="V47" i="34"/>
  <c r="V46" i="34"/>
  <c r="V45" i="34"/>
  <c r="V44" i="34"/>
  <c r="V43" i="34"/>
  <c r="V42" i="34"/>
  <c r="V41" i="34"/>
  <c r="V40" i="34"/>
  <c r="V39" i="34"/>
  <c r="V38" i="34"/>
  <c r="V37" i="34"/>
  <c r="V36" i="34"/>
  <c r="V35" i="34"/>
  <c r="V34" i="34"/>
  <c r="V33" i="34"/>
  <c r="V32" i="34"/>
  <c r="V31" i="34"/>
  <c r="V30" i="34"/>
  <c r="V29" i="34"/>
  <c r="V28" i="34"/>
  <c r="V27" i="34"/>
  <c r="V26" i="34"/>
  <c r="V25" i="34"/>
  <c r="V24" i="34"/>
  <c r="V23" i="34"/>
  <c r="V22" i="34"/>
  <c r="V21" i="34"/>
  <c r="V20" i="34"/>
  <c r="V19" i="34"/>
  <c r="V18" i="34"/>
  <c r="V17" i="34"/>
  <c r="V16" i="34"/>
  <c r="T71" i="34"/>
  <c r="T70" i="34"/>
  <c r="T69" i="34"/>
  <c r="T68" i="34"/>
  <c r="T67" i="34"/>
  <c r="T66" i="34"/>
  <c r="T65" i="34"/>
  <c r="T64" i="34"/>
  <c r="T63" i="34"/>
  <c r="T62" i="34"/>
  <c r="T61" i="34"/>
  <c r="T60" i="34"/>
  <c r="T59" i="34"/>
  <c r="T58" i="34"/>
  <c r="T57" i="34"/>
  <c r="T56" i="34"/>
  <c r="T55" i="34"/>
  <c r="T54" i="34"/>
  <c r="T53" i="34"/>
  <c r="T52" i="34"/>
  <c r="T51" i="34"/>
  <c r="T50" i="34"/>
  <c r="T49" i="34"/>
  <c r="T48" i="34"/>
  <c r="T47" i="34"/>
  <c r="T46" i="34"/>
  <c r="T45" i="34"/>
  <c r="T44" i="34"/>
  <c r="T43" i="34"/>
  <c r="T42" i="34"/>
  <c r="T41" i="34"/>
  <c r="T40" i="34"/>
  <c r="T39" i="34"/>
  <c r="T38" i="34"/>
  <c r="T37" i="34"/>
  <c r="T36" i="34"/>
  <c r="T35" i="34"/>
  <c r="T34" i="34"/>
  <c r="T33" i="34"/>
  <c r="T32" i="34"/>
  <c r="T31" i="34"/>
  <c r="T30" i="34"/>
  <c r="T29" i="34"/>
  <c r="T28" i="34"/>
  <c r="T27" i="34"/>
  <c r="T26" i="34"/>
  <c r="T25" i="34"/>
  <c r="T24" i="34"/>
  <c r="T23" i="34"/>
  <c r="T22" i="34"/>
  <c r="T21" i="34"/>
  <c r="T20" i="34"/>
  <c r="T19" i="34"/>
  <c r="T18" i="34"/>
  <c r="T17" i="34"/>
  <c r="T16" i="34"/>
  <c r="R71" i="34"/>
  <c r="R70" i="34"/>
  <c r="R69" i="34"/>
  <c r="R68" i="34"/>
  <c r="R67" i="34"/>
  <c r="R66" i="34"/>
  <c r="R65" i="34"/>
  <c r="R64" i="34"/>
  <c r="R63" i="34"/>
  <c r="R62" i="34"/>
  <c r="R61" i="34"/>
  <c r="R60" i="34"/>
  <c r="R59" i="34"/>
  <c r="R58" i="34"/>
  <c r="R57" i="34"/>
  <c r="R56" i="34"/>
  <c r="R55" i="34"/>
  <c r="R54" i="34"/>
  <c r="R53" i="34"/>
  <c r="R52" i="34"/>
  <c r="R51" i="34"/>
  <c r="R50" i="34"/>
  <c r="R49" i="34"/>
  <c r="R48" i="34"/>
  <c r="R47" i="34"/>
  <c r="R46" i="34"/>
  <c r="R45" i="34"/>
  <c r="R44" i="34"/>
  <c r="R43" i="34"/>
  <c r="R42" i="34"/>
  <c r="R41" i="34"/>
  <c r="R40" i="34"/>
  <c r="R39" i="34"/>
  <c r="R38" i="34"/>
  <c r="R37" i="34"/>
  <c r="R36" i="34"/>
  <c r="R35" i="34"/>
  <c r="R34" i="34"/>
  <c r="R33" i="34"/>
  <c r="R32" i="34"/>
  <c r="R31" i="34"/>
  <c r="R30" i="34"/>
  <c r="R29" i="34"/>
  <c r="R28" i="34"/>
  <c r="R27" i="34"/>
  <c r="R26" i="34"/>
  <c r="R25" i="34"/>
  <c r="R24" i="34"/>
  <c r="R23" i="34"/>
  <c r="R22" i="34"/>
  <c r="R21" i="34"/>
  <c r="R20" i="34"/>
  <c r="R19" i="34"/>
  <c r="R18" i="34"/>
  <c r="R17" i="34"/>
  <c r="R16" i="34"/>
  <c r="P71" i="34"/>
  <c r="P70" i="34"/>
  <c r="P69" i="34"/>
  <c r="P68" i="34"/>
  <c r="P67" i="34"/>
  <c r="P66" i="34"/>
  <c r="P65" i="34"/>
  <c r="P64" i="34"/>
  <c r="P63" i="34"/>
  <c r="P62" i="34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P40" i="34"/>
  <c r="P39" i="34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P17" i="34"/>
  <c r="P16" i="34"/>
  <c r="N71" i="34"/>
  <c r="N70" i="34"/>
  <c r="N69" i="34"/>
  <c r="N68" i="34"/>
  <c r="N67" i="34"/>
  <c r="N66" i="34"/>
  <c r="N65" i="34"/>
  <c r="N64" i="34"/>
  <c r="N63" i="34"/>
  <c r="N62" i="34"/>
  <c r="N61" i="34"/>
  <c r="N60" i="34"/>
  <c r="N59" i="34"/>
  <c r="N58" i="34"/>
  <c r="N57" i="34"/>
  <c r="N56" i="34"/>
  <c r="N55" i="34"/>
  <c r="N54" i="34"/>
  <c r="N53" i="34"/>
  <c r="N52" i="34"/>
  <c r="N51" i="34"/>
  <c r="N50" i="34"/>
  <c r="N49" i="34"/>
  <c r="N48" i="34"/>
  <c r="N47" i="34"/>
  <c r="N46" i="34"/>
  <c r="N45" i="34"/>
  <c r="N44" i="34"/>
  <c r="N43" i="34"/>
  <c r="N42" i="34"/>
  <c r="N41" i="34"/>
  <c r="N40" i="34"/>
  <c r="N39" i="34"/>
  <c r="N38" i="34"/>
  <c r="N37" i="34"/>
  <c r="N36" i="34"/>
  <c r="N35" i="34"/>
  <c r="N34" i="34"/>
  <c r="N33" i="34"/>
  <c r="N32" i="34"/>
  <c r="N31" i="34"/>
  <c r="N30" i="34"/>
  <c r="N29" i="34"/>
  <c r="N28" i="34"/>
  <c r="N27" i="34"/>
  <c r="N26" i="34"/>
  <c r="N25" i="34"/>
  <c r="N24" i="34"/>
  <c r="N23" i="34"/>
  <c r="N22" i="34"/>
  <c r="N21" i="34"/>
  <c r="N20" i="34"/>
  <c r="N19" i="34"/>
  <c r="N18" i="34"/>
  <c r="N17" i="34"/>
  <c r="N16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H71" i="34"/>
  <c r="H70" i="34"/>
  <c r="H69" i="34"/>
  <c r="H68" i="34"/>
  <c r="H67" i="34"/>
  <c r="H66" i="34"/>
  <c r="H65" i="34"/>
  <c r="H64" i="34"/>
  <c r="H63" i="34"/>
  <c r="H62" i="34"/>
  <c r="H61" i="34"/>
  <c r="H60" i="34"/>
  <c r="H59" i="34"/>
  <c r="H58" i="34"/>
  <c r="H57" i="34"/>
  <c r="H56" i="34"/>
  <c r="H55" i="34"/>
  <c r="H54" i="34"/>
  <c r="H53" i="34"/>
  <c r="H52" i="34"/>
  <c r="H51" i="34"/>
  <c r="H50" i="34"/>
  <c r="H49" i="34"/>
  <c r="H48" i="34"/>
  <c r="H47" i="34"/>
  <c r="H46" i="34"/>
  <c r="H45" i="34"/>
  <c r="H44" i="34"/>
  <c r="H43" i="34"/>
  <c r="H42" i="34"/>
  <c r="H41" i="34"/>
  <c r="H40" i="34"/>
  <c r="H39" i="34"/>
  <c r="H38" i="34"/>
  <c r="H37" i="34"/>
  <c r="H36" i="34"/>
  <c r="H35" i="34"/>
  <c r="H34" i="34"/>
  <c r="H33" i="34"/>
  <c r="H32" i="34"/>
  <c r="H31" i="34"/>
  <c r="H30" i="34"/>
  <c r="H29" i="34"/>
  <c r="H28" i="34"/>
  <c r="H27" i="34"/>
  <c r="H26" i="34"/>
  <c r="H25" i="34"/>
  <c r="H24" i="34"/>
  <c r="H23" i="34"/>
  <c r="H22" i="34"/>
  <c r="H21" i="34"/>
  <c r="H20" i="34"/>
  <c r="H19" i="34"/>
  <c r="H18" i="34"/>
  <c r="H17" i="34"/>
  <c r="H16" i="34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Z16" i="8"/>
  <c r="X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T16" i="8"/>
  <c r="R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P16" i="8"/>
  <c r="N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16" i="8"/>
  <c r="M87" i="34"/>
  <c r="M82" i="34"/>
  <c r="C82" i="34"/>
  <c r="E71" i="34"/>
  <c r="D71" i="34"/>
  <c r="C71" i="34"/>
  <c r="E70" i="34"/>
  <c r="D70" i="34"/>
  <c r="C70" i="34"/>
  <c r="E69" i="34"/>
  <c r="D69" i="34"/>
  <c r="C69" i="34"/>
  <c r="E68" i="34"/>
  <c r="D68" i="34"/>
  <c r="C68" i="34"/>
  <c r="E67" i="34"/>
  <c r="D67" i="34"/>
  <c r="C67" i="34"/>
  <c r="E66" i="34"/>
  <c r="D66" i="34"/>
  <c r="C66" i="34"/>
  <c r="AD66" i="34" s="1"/>
  <c r="E65" i="34"/>
  <c r="D65" i="34"/>
  <c r="C65" i="34"/>
  <c r="AD65" i="34" s="1"/>
  <c r="E64" i="34"/>
  <c r="D64" i="34"/>
  <c r="C64" i="34"/>
  <c r="E63" i="34"/>
  <c r="D63" i="34"/>
  <c r="C63" i="34"/>
  <c r="E62" i="34"/>
  <c r="D62" i="34"/>
  <c r="C62" i="34"/>
  <c r="E61" i="34"/>
  <c r="D61" i="34"/>
  <c r="C61" i="34"/>
  <c r="E60" i="34"/>
  <c r="D60" i="34"/>
  <c r="C60" i="34"/>
  <c r="E59" i="34"/>
  <c r="D59" i="34"/>
  <c r="C59" i="34"/>
  <c r="E58" i="34"/>
  <c r="D58" i="34"/>
  <c r="C58" i="34"/>
  <c r="AD58" i="34" s="1"/>
  <c r="E57" i="34"/>
  <c r="D57" i="34"/>
  <c r="C57" i="34"/>
  <c r="AD57" i="34" s="1"/>
  <c r="E56" i="34"/>
  <c r="D56" i="34"/>
  <c r="C56" i="34"/>
  <c r="AD56" i="34" s="1"/>
  <c r="E55" i="34"/>
  <c r="D55" i="34"/>
  <c r="C55" i="34"/>
  <c r="E54" i="34"/>
  <c r="D54" i="34"/>
  <c r="C54" i="34"/>
  <c r="AD54" i="34" s="1"/>
  <c r="E53" i="34"/>
  <c r="D53" i="34"/>
  <c r="C53" i="34"/>
  <c r="E52" i="34"/>
  <c r="D52" i="34"/>
  <c r="C52" i="34"/>
  <c r="E51" i="34"/>
  <c r="D51" i="34"/>
  <c r="C51" i="34"/>
  <c r="E50" i="34"/>
  <c r="D50" i="34"/>
  <c r="C50" i="34"/>
  <c r="AD50" i="34" s="1"/>
  <c r="AD49" i="34"/>
  <c r="E49" i="34"/>
  <c r="D49" i="34"/>
  <c r="C49" i="34"/>
  <c r="E48" i="34"/>
  <c r="D48" i="34"/>
  <c r="C48" i="34"/>
  <c r="AD48" i="34" s="1"/>
  <c r="E47" i="34"/>
  <c r="D47" i="34"/>
  <c r="C47" i="34"/>
  <c r="E46" i="34"/>
  <c r="D46" i="34"/>
  <c r="C46" i="34"/>
  <c r="E45" i="34"/>
  <c r="D45" i="34"/>
  <c r="C45" i="34"/>
  <c r="E44" i="34"/>
  <c r="D44" i="34"/>
  <c r="C44" i="34"/>
  <c r="AD44" i="34" s="1"/>
  <c r="E43" i="34"/>
  <c r="D43" i="34"/>
  <c r="C43" i="34"/>
  <c r="E42" i="34"/>
  <c r="D42" i="34"/>
  <c r="C42" i="34"/>
  <c r="AD42" i="34" s="1"/>
  <c r="E41" i="34"/>
  <c r="D41" i="34"/>
  <c r="C41" i="34"/>
  <c r="AD41" i="34" s="1"/>
  <c r="E40" i="34"/>
  <c r="D40" i="34"/>
  <c r="C40" i="34"/>
  <c r="AD40" i="34" s="1"/>
  <c r="E39" i="34"/>
  <c r="D39" i="34"/>
  <c r="C39" i="34"/>
  <c r="E38" i="34"/>
  <c r="D38" i="34"/>
  <c r="C38" i="34"/>
  <c r="AD38" i="34" s="1"/>
  <c r="E37" i="34"/>
  <c r="D37" i="34"/>
  <c r="C37" i="34"/>
  <c r="E36" i="34"/>
  <c r="D36" i="34"/>
  <c r="C36" i="34"/>
  <c r="AD36" i="34" s="1"/>
  <c r="E35" i="34"/>
  <c r="D35" i="34"/>
  <c r="C35" i="34"/>
  <c r="E34" i="34"/>
  <c r="D34" i="34"/>
  <c r="C34" i="34"/>
  <c r="AD34" i="34" s="1"/>
  <c r="E33" i="34"/>
  <c r="D33" i="34"/>
  <c r="C33" i="34"/>
  <c r="AD33" i="34" s="1"/>
  <c r="E32" i="34"/>
  <c r="D32" i="34"/>
  <c r="C32" i="34"/>
  <c r="E31" i="34"/>
  <c r="D31" i="34"/>
  <c r="C31" i="34"/>
  <c r="E30" i="34"/>
  <c r="D30" i="34"/>
  <c r="C30" i="34"/>
  <c r="E29" i="34"/>
  <c r="D29" i="34"/>
  <c r="C29" i="34"/>
  <c r="E28" i="34"/>
  <c r="D28" i="34"/>
  <c r="C28" i="34"/>
  <c r="AD28" i="34" s="1"/>
  <c r="E27" i="34"/>
  <c r="D27" i="34"/>
  <c r="C27" i="34"/>
  <c r="E26" i="34"/>
  <c r="D26" i="34"/>
  <c r="C26" i="34"/>
  <c r="AD26" i="34" s="1"/>
  <c r="E25" i="34"/>
  <c r="D25" i="34"/>
  <c r="C25" i="34"/>
  <c r="AD25" i="34" s="1"/>
  <c r="E24" i="34"/>
  <c r="D24" i="34"/>
  <c r="C24" i="34"/>
  <c r="E23" i="34"/>
  <c r="D23" i="34"/>
  <c r="C23" i="34"/>
  <c r="E22" i="34"/>
  <c r="D22" i="34"/>
  <c r="C22" i="34"/>
  <c r="E21" i="34"/>
  <c r="D21" i="34"/>
  <c r="C21" i="34"/>
  <c r="E20" i="34"/>
  <c r="D20" i="34"/>
  <c r="C20" i="34"/>
  <c r="E19" i="34"/>
  <c r="D19" i="34"/>
  <c r="C19" i="34"/>
  <c r="E18" i="34"/>
  <c r="D18" i="34"/>
  <c r="C18" i="34"/>
  <c r="E17" i="34"/>
  <c r="D17" i="34"/>
  <c r="C17" i="34"/>
  <c r="L16" i="34"/>
  <c r="F16" i="34"/>
  <c r="Z10" i="34"/>
  <c r="X10" i="34"/>
  <c r="V10" i="34"/>
  <c r="T10" i="34"/>
  <c r="R10" i="34"/>
  <c r="P10" i="34"/>
  <c r="N10" i="34"/>
  <c r="L10" i="34"/>
  <c r="J10" i="34"/>
  <c r="H10" i="34"/>
  <c r="AB7" i="34"/>
  <c r="J7" i="34"/>
  <c r="AB6" i="34"/>
  <c r="J6" i="34"/>
  <c r="AB5" i="34"/>
  <c r="J5" i="34"/>
  <c r="AB4" i="34"/>
  <c r="J4" i="34"/>
  <c r="M87" i="32"/>
  <c r="M82" i="32"/>
  <c r="C82" i="32"/>
  <c r="AB7" i="32"/>
  <c r="AB6" i="32"/>
  <c r="AB5" i="32"/>
  <c r="AB4" i="32"/>
  <c r="J7" i="32"/>
  <c r="J6" i="32"/>
  <c r="J5" i="32"/>
  <c r="J4" i="32"/>
  <c r="E71" i="32"/>
  <c r="D71" i="32"/>
  <c r="C71" i="32"/>
  <c r="AD71" i="32" s="1"/>
  <c r="E70" i="32"/>
  <c r="D70" i="32"/>
  <c r="C70" i="32"/>
  <c r="AD70" i="32" s="1"/>
  <c r="E69" i="32"/>
  <c r="D69" i="32"/>
  <c r="C69" i="32"/>
  <c r="AD69" i="32" s="1"/>
  <c r="E68" i="32"/>
  <c r="D68" i="32"/>
  <c r="C68" i="32"/>
  <c r="AD68" i="32" s="1"/>
  <c r="E67" i="32"/>
  <c r="D67" i="32"/>
  <c r="C67" i="32"/>
  <c r="AD67" i="32" s="1"/>
  <c r="E66" i="32"/>
  <c r="D66" i="32"/>
  <c r="C66" i="32"/>
  <c r="AD66" i="32" s="1"/>
  <c r="E65" i="32"/>
  <c r="D65" i="32"/>
  <c r="C65" i="32"/>
  <c r="AD65" i="32" s="1"/>
  <c r="E64" i="32"/>
  <c r="D64" i="32"/>
  <c r="C64" i="32"/>
  <c r="AD64" i="32" s="1"/>
  <c r="E63" i="32"/>
  <c r="D63" i="32"/>
  <c r="C63" i="32"/>
  <c r="AD63" i="32" s="1"/>
  <c r="E62" i="32"/>
  <c r="D62" i="32"/>
  <c r="C62" i="32"/>
  <c r="AD62" i="32" s="1"/>
  <c r="E61" i="32"/>
  <c r="D61" i="32"/>
  <c r="C61" i="32"/>
  <c r="AD61" i="32" s="1"/>
  <c r="E60" i="32"/>
  <c r="D60" i="32"/>
  <c r="C60" i="32"/>
  <c r="AD60" i="32" s="1"/>
  <c r="E59" i="32"/>
  <c r="D59" i="32"/>
  <c r="C59" i="32"/>
  <c r="AD59" i="32" s="1"/>
  <c r="E58" i="32"/>
  <c r="D58" i="32"/>
  <c r="C58" i="32"/>
  <c r="AD58" i="32" s="1"/>
  <c r="E57" i="32"/>
  <c r="D57" i="32"/>
  <c r="C57" i="32"/>
  <c r="AD57" i="32" s="1"/>
  <c r="E56" i="32"/>
  <c r="D56" i="32"/>
  <c r="C56" i="32"/>
  <c r="AD56" i="32" s="1"/>
  <c r="E55" i="32"/>
  <c r="D55" i="32"/>
  <c r="C55" i="32"/>
  <c r="AD55" i="32" s="1"/>
  <c r="E54" i="32"/>
  <c r="D54" i="32"/>
  <c r="C54" i="32"/>
  <c r="AD54" i="32" s="1"/>
  <c r="E53" i="32"/>
  <c r="D53" i="32"/>
  <c r="C53" i="32"/>
  <c r="AD53" i="32" s="1"/>
  <c r="E52" i="32"/>
  <c r="D52" i="32"/>
  <c r="C52" i="32"/>
  <c r="AD52" i="32" s="1"/>
  <c r="E51" i="32"/>
  <c r="D51" i="32"/>
  <c r="C51" i="32"/>
  <c r="AD51" i="32" s="1"/>
  <c r="E50" i="32"/>
  <c r="D50" i="32"/>
  <c r="C50" i="32"/>
  <c r="AD50" i="32" s="1"/>
  <c r="E49" i="32"/>
  <c r="D49" i="32"/>
  <c r="C49" i="32"/>
  <c r="AD49" i="32" s="1"/>
  <c r="E48" i="32"/>
  <c r="D48" i="32"/>
  <c r="C48" i="32"/>
  <c r="AD48" i="32" s="1"/>
  <c r="E47" i="32"/>
  <c r="D47" i="32"/>
  <c r="C47" i="32"/>
  <c r="AD47" i="32" s="1"/>
  <c r="E46" i="32"/>
  <c r="D46" i="32"/>
  <c r="C46" i="32"/>
  <c r="AD46" i="32" s="1"/>
  <c r="E45" i="32"/>
  <c r="D45" i="32"/>
  <c r="C45" i="32"/>
  <c r="AD45" i="32" s="1"/>
  <c r="E44" i="32"/>
  <c r="D44" i="32"/>
  <c r="C44" i="32"/>
  <c r="AD44" i="32" s="1"/>
  <c r="E43" i="32"/>
  <c r="D43" i="32"/>
  <c r="C43" i="32"/>
  <c r="AD43" i="32" s="1"/>
  <c r="E42" i="32"/>
  <c r="D42" i="32"/>
  <c r="C42" i="32"/>
  <c r="AD42" i="32" s="1"/>
  <c r="E41" i="32"/>
  <c r="D41" i="32"/>
  <c r="C41" i="32"/>
  <c r="AD41" i="32" s="1"/>
  <c r="E40" i="32"/>
  <c r="D40" i="32"/>
  <c r="C40" i="32"/>
  <c r="AD40" i="32" s="1"/>
  <c r="E39" i="32"/>
  <c r="D39" i="32"/>
  <c r="C39" i="32"/>
  <c r="AD39" i="32" s="1"/>
  <c r="E38" i="32"/>
  <c r="D38" i="32"/>
  <c r="C38" i="32"/>
  <c r="AD38" i="32" s="1"/>
  <c r="E37" i="32"/>
  <c r="D37" i="32"/>
  <c r="C37" i="32"/>
  <c r="AD37" i="32" s="1"/>
  <c r="E36" i="32"/>
  <c r="D36" i="32"/>
  <c r="C36" i="32"/>
  <c r="AD36" i="32" s="1"/>
  <c r="E35" i="32"/>
  <c r="D35" i="32"/>
  <c r="C35" i="32"/>
  <c r="AD35" i="32" s="1"/>
  <c r="E34" i="32"/>
  <c r="D34" i="32"/>
  <c r="C34" i="32"/>
  <c r="AD34" i="32" s="1"/>
  <c r="E33" i="32"/>
  <c r="D33" i="32"/>
  <c r="C33" i="32"/>
  <c r="AD33" i="32" s="1"/>
  <c r="E32" i="32"/>
  <c r="D32" i="32"/>
  <c r="C32" i="32"/>
  <c r="AD32" i="32" s="1"/>
  <c r="E31" i="32"/>
  <c r="D31" i="32"/>
  <c r="C31" i="32"/>
  <c r="AD31" i="32" s="1"/>
  <c r="E30" i="32"/>
  <c r="D30" i="32"/>
  <c r="C30" i="32"/>
  <c r="AD30" i="32" s="1"/>
  <c r="E29" i="32"/>
  <c r="D29" i="32"/>
  <c r="C29" i="32"/>
  <c r="AD29" i="32" s="1"/>
  <c r="E28" i="32"/>
  <c r="D28" i="32"/>
  <c r="C28" i="32"/>
  <c r="AD28" i="32" s="1"/>
  <c r="E27" i="32"/>
  <c r="D27" i="32"/>
  <c r="C27" i="32"/>
  <c r="AD27" i="32" s="1"/>
  <c r="E26" i="32"/>
  <c r="D26" i="32"/>
  <c r="C26" i="32"/>
  <c r="AD26" i="32" s="1"/>
  <c r="E25" i="32"/>
  <c r="D25" i="32"/>
  <c r="C25" i="32"/>
  <c r="AD25" i="32" s="1"/>
  <c r="E24" i="32"/>
  <c r="D24" i="32"/>
  <c r="C24" i="32"/>
  <c r="AD24" i="32" s="1"/>
  <c r="E23" i="32"/>
  <c r="D23" i="32"/>
  <c r="C23" i="32"/>
  <c r="AD23" i="32" s="1"/>
  <c r="E22" i="32"/>
  <c r="D22" i="32"/>
  <c r="C22" i="32"/>
  <c r="AD22" i="32" s="1"/>
  <c r="E21" i="32"/>
  <c r="D21" i="32"/>
  <c r="C21" i="32"/>
  <c r="E20" i="32"/>
  <c r="D20" i="32"/>
  <c r="C20" i="32"/>
  <c r="E19" i="32"/>
  <c r="D19" i="32"/>
  <c r="C19" i="32"/>
  <c r="E18" i="32"/>
  <c r="D18" i="32"/>
  <c r="C18" i="32"/>
  <c r="E17" i="32"/>
  <c r="D17" i="32"/>
  <c r="C17" i="32"/>
  <c r="F16" i="32"/>
  <c r="Z10" i="32"/>
  <c r="X10" i="32"/>
  <c r="V10" i="32"/>
  <c r="T10" i="32"/>
  <c r="R10" i="32"/>
  <c r="P10" i="32"/>
  <c r="N10" i="32"/>
  <c r="L10" i="32"/>
  <c r="J10" i="32"/>
  <c r="H10" i="32"/>
  <c r="AD64" i="34" l="1"/>
  <c r="L69" i="34"/>
  <c r="L22" i="34"/>
  <c r="AD46" i="34"/>
  <c r="L36" i="34"/>
  <c r="AD30" i="34"/>
  <c r="L64" i="34"/>
  <c r="L56" i="34"/>
  <c r="L71" i="34"/>
  <c r="L40" i="34"/>
  <c r="L48" i="34"/>
  <c r="L32" i="34"/>
  <c r="AD59" i="34"/>
  <c r="L61" i="34"/>
  <c r="L24" i="34"/>
  <c r="AD51" i="34"/>
  <c r="L53" i="34"/>
  <c r="L68" i="34"/>
  <c r="AB16" i="34"/>
  <c r="AG16" i="34" s="1"/>
  <c r="AG16" i="32" s="1"/>
  <c r="L37" i="34"/>
  <c r="AD43" i="34"/>
  <c r="L45" i="34"/>
  <c r="AD22" i="34"/>
  <c r="L29" i="34"/>
  <c r="L63" i="34"/>
  <c r="L21" i="34"/>
  <c r="AD32" i="34"/>
  <c r="L55" i="34"/>
  <c r="L60" i="34"/>
  <c r="AD61" i="34"/>
  <c r="AD68" i="34"/>
  <c r="AD24" i="34"/>
  <c r="L39" i="34"/>
  <c r="L47" i="34"/>
  <c r="L52" i="34"/>
  <c r="AD53" i="34"/>
  <c r="L31" i="34"/>
  <c r="AD37" i="34"/>
  <c r="L44" i="34"/>
  <c r="AD45" i="34"/>
  <c r="L23" i="34"/>
  <c r="L28" i="34"/>
  <c r="AD29" i="34"/>
  <c r="AD60" i="34"/>
  <c r="L30" i="34"/>
  <c r="AD52" i="34"/>
  <c r="AD27" i="34"/>
  <c r="AD35" i="34"/>
  <c r="AD67" i="34"/>
  <c r="L17" i="34"/>
  <c r="L25" i="34"/>
  <c r="L33" i="34"/>
  <c r="L41" i="34"/>
  <c r="L49" i="34"/>
  <c r="L57" i="34"/>
  <c r="L65" i="34"/>
  <c r="AD69" i="34"/>
  <c r="L18" i="34"/>
  <c r="L26" i="34"/>
  <c r="L34" i="34"/>
  <c r="L42" i="34"/>
  <c r="L50" i="34"/>
  <c r="L58" i="34"/>
  <c r="L66" i="34"/>
  <c r="AD62" i="34"/>
  <c r="AD70" i="34"/>
  <c r="L19" i="34"/>
  <c r="L27" i="34"/>
  <c r="L35" i="34"/>
  <c r="L43" i="34"/>
  <c r="L51" i="34"/>
  <c r="L59" i="34"/>
  <c r="L67" i="34"/>
  <c r="AD23" i="34"/>
  <c r="AD31" i="34"/>
  <c r="AD39" i="34"/>
  <c r="AD47" i="34"/>
  <c r="AD55" i="34"/>
  <c r="AD63" i="34"/>
  <c r="AD71" i="34"/>
  <c r="L20" i="34"/>
  <c r="L38" i="34"/>
  <c r="L46" i="34"/>
  <c r="L54" i="34"/>
  <c r="L62" i="34"/>
  <c r="L70" i="34"/>
  <c r="AB16" i="32"/>
  <c r="AH16" i="32" s="1"/>
  <c r="AB43" i="8"/>
  <c r="AF43" i="8" s="1"/>
  <c r="AB45" i="8"/>
  <c r="AF45" i="8" s="1"/>
  <c r="AB59" i="8"/>
  <c r="AF59" i="8" s="1"/>
  <c r="AB37" i="8"/>
  <c r="AF37" i="8" s="1"/>
  <c r="AB53" i="8"/>
  <c r="AF53" i="8" s="1"/>
  <c r="AB69" i="8"/>
  <c r="AF69" i="8" s="1"/>
  <c r="AB29" i="8"/>
  <c r="AF29" i="8" s="1"/>
  <c r="AB62" i="8"/>
  <c r="AF62" i="8" s="1"/>
  <c r="D17" i="8"/>
  <c r="C17" i="8"/>
  <c r="C66" i="10"/>
  <c r="C110" i="10"/>
  <c r="D99" i="10"/>
  <c r="D87" i="10"/>
  <c r="C86" i="10"/>
  <c r="E72" i="10"/>
  <c r="E87" i="10"/>
  <c r="E60" i="10"/>
  <c r="E59" i="10"/>
  <c r="C103" i="10"/>
  <c r="E66" i="10"/>
  <c r="E92" i="10"/>
  <c r="D67" i="10"/>
  <c r="I25" i="10"/>
  <c r="F25" i="10"/>
  <c r="E91" i="10"/>
  <c r="D58" i="10"/>
  <c r="E98" i="10"/>
  <c r="C73" i="10"/>
  <c r="E75" i="10"/>
  <c r="C93" i="10"/>
  <c r="C77" i="10"/>
  <c r="C63" i="10"/>
  <c r="C85" i="10"/>
  <c r="E76" i="10"/>
  <c r="E77" i="10"/>
  <c r="D59" i="10"/>
  <c r="C102" i="10"/>
  <c r="C76" i="10"/>
  <c r="D89" i="10"/>
  <c r="C95" i="10"/>
  <c r="D107" i="10"/>
  <c r="D82" i="10"/>
  <c r="E105" i="10"/>
  <c r="E96" i="10"/>
  <c r="E81" i="10"/>
  <c r="C105" i="10"/>
  <c r="F53" i="10"/>
  <c r="E56" i="10"/>
  <c r="D83" i="10"/>
  <c r="D79" i="10"/>
  <c r="D56" i="10"/>
  <c r="E65" i="10"/>
  <c r="E107" i="10"/>
  <c r="D103" i="10"/>
  <c r="D78" i="10"/>
  <c r="D96" i="10"/>
  <c r="C101" i="10"/>
  <c r="D90" i="10"/>
  <c r="C81" i="10"/>
  <c r="D92" i="10"/>
  <c r="D68" i="10"/>
  <c r="E85" i="10"/>
  <c r="E110" i="10"/>
  <c r="C83" i="10"/>
  <c r="D101" i="10"/>
  <c r="E57" i="10"/>
  <c r="D73" i="10"/>
  <c r="E70" i="10"/>
  <c r="C79" i="10"/>
  <c r="D81" i="10"/>
  <c r="C92" i="10"/>
  <c r="D104" i="10"/>
  <c r="D84" i="10"/>
  <c r="C109" i="10"/>
  <c r="C91" i="10"/>
  <c r="D63" i="10"/>
  <c r="D61" i="10"/>
  <c r="I26" i="10"/>
  <c r="D98" i="10"/>
  <c r="C80" i="10"/>
  <c r="C97" i="10"/>
  <c r="D66" i="10"/>
  <c r="E62" i="10"/>
  <c r="D69" i="10"/>
  <c r="E100" i="10"/>
  <c r="E73" i="10"/>
  <c r="D64" i="10"/>
  <c r="D97" i="10"/>
  <c r="D60" i="10"/>
  <c r="C82" i="10"/>
  <c r="C90" i="10"/>
  <c r="C72" i="10"/>
  <c r="C74" i="10"/>
  <c r="D80" i="10"/>
  <c r="D93" i="10"/>
  <c r="E109" i="10"/>
  <c r="D100" i="10"/>
  <c r="C60" i="10"/>
  <c r="C61" i="10"/>
  <c r="C89" i="10"/>
  <c r="D77" i="10"/>
  <c r="D108" i="10"/>
  <c r="C108" i="10"/>
  <c r="C59" i="10"/>
  <c r="C78" i="10"/>
  <c r="D62" i="10"/>
  <c r="C57" i="10"/>
  <c r="E90" i="10"/>
  <c r="E84" i="10"/>
  <c r="E94" i="10"/>
  <c r="F26" i="10"/>
  <c r="D105" i="10"/>
  <c r="D106" i="10"/>
  <c r="E71" i="10"/>
  <c r="E99" i="10"/>
  <c r="C70" i="10"/>
  <c r="D74" i="10"/>
  <c r="D85" i="10"/>
  <c r="C84" i="10"/>
  <c r="D95" i="10"/>
  <c r="D110" i="10"/>
  <c r="C69" i="10"/>
  <c r="C112" i="10"/>
  <c r="D71" i="10"/>
  <c r="C56" i="10"/>
  <c r="E88" i="10"/>
  <c r="E79" i="10"/>
  <c r="C65" i="10"/>
  <c r="C62" i="10"/>
  <c r="E108" i="10"/>
  <c r="E69" i="10"/>
  <c r="C100" i="10"/>
  <c r="E106" i="10"/>
  <c r="E86" i="10"/>
  <c r="D57" i="10"/>
  <c r="E64" i="10"/>
  <c r="C75" i="10"/>
  <c r="C67" i="10"/>
  <c r="C36" i="10"/>
  <c r="C68" i="10"/>
  <c r="E61" i="10"/>
  <c r="C99" i="10"/>
  <c r="C71" i="10"/>
  <c r="D86" i="10"/>
  <c r="E93" i="10"/>
  <c r="E58" i="10"/>
  <c r="D70" i="10"/>
  <c r="C113" i="10"/>
  <c r="E83" i="10"/>
  <c r="D88" i="10"/>
  <c r="E80" i="10"/>
  <c r="C88" i="10"/>
  <c r="E103" i="10"/>
  <c r="E78" i="10"/>
  <c r="D76" i="10"/>
  <c r="E68" i="10"/>
  <c r="E95" i="10"/>
  <c r="C104" i="10"/>
  <c r="D109" i="10"/>
  <c r="C98" i="10"/>
  <c r="C107" i="10"/>
  <c r="E89" i="10"/>
  <c r="D94" i="10"/>
  <c r="E97" i="10"/>
  <c r="E104" i="10"/>
  <c r="E102" i="10"/>
  <c r="E63" i="10"/>
  <c r="D65" i="10"/>
  <c r="D102" i="10"/>
  <c r="C94" i="10"/>
  <c r="E74" i="10"/>
  <c r="C33" i="10"/>
  <c r="E67" i="10"/>
  <c r="D91" i="10"/>
  <c r="E82" i="10"/>
  <c r="C64" i="10"/>
  <c r="D75" i="10"/>
  <c r="C96" i="10"/>
  <c r="C106" i="10"/>
  <c r="E101" i="10"/>
  <c r="C87" i="10"/>
  <c r="F52" i="10"/>
  <c r="C58" i="10"/>
  <c r="D72" i="10"/>
  <c r="AF45" i="34" l="1"/>
  <c r="AF45" i="32"/>
  <c r="AF29" i="34"/>
  <c r="AF29" i="32"/>
  <c r="AF43" i="32"/>
  <c r="AF43" i="34"/>
  <c r="AF53" i="34"/>
  <c r="AF53" i="32"/>
  <c r="AF59" i="32"/>
  <c r="AF59" i="34"/>
  <c r="AF69" i="34"/>
  <c r="AF69" i="32"/>
  <c r="AF62" i="34"/>
  <c r="AF62" i="32"/>
  <c r="AF37" i="34"/>
  <c r="AF37" i="32"/>
  <c r="AB54" i="34"/>
  <c r="AB29" i="34"/>
  <c r="AB31" i="34"/>
  <c r="AB68" i="34"/>
  <c r="AB48" i="34"/>
  <c r="AB37" i="34"/>
  <c r="AB71" i="34"/>
  <c r="AB46" i="34"/>
  <c r="AB70" i="34"/>
  <c r="AB47" i="34"/>
  <c r="AB32" i="34"/>
  <c r="AB45" i="34"/>
  <c r="AB39" i="34"/>
  <c r="AB56" i="34"/>
  <c r="AB63" i="34"/>
  <c r="AB38" i="34"/>
  <c r="AB40" i="34"/>
  <c r="AB64" i="34"/>
  <c r="AB62" i="34"/>
  <c r="AB61" i="34"/>
  <c r="AB30" i="34"/>
  <c r="AB24" i="34"/>
  <c r="AB53" i="34"/>
  <c r="AB22" i="34"/>
  <c r="AB21" i="34"/>
  <c r="AB55" i="34"/>
  <c r="AB19" i="34"/>
  <c r="AB49" i="34"/>
  <c r="AB43" i="34"/>
  <c r="AB36" i="34"/>
  <c r="AB67" i="34"/>
  <c r="AB50" i="34"/>
  <c r="AB18" i="34"/>
  <c r="AB41" i="34"/>
  <c r="AB23" i="34"/>
  <c r="AB69" i="34"/>
  <c r="AB60" i="34"/>
  <c r="AB33" i="34"/>
  <c r="AB28" i="34"/>
  <c r="AB35" i="34"/>
  <c r="AB42" i="34"/>
  <c r="AB25" i="34"/>
  <c r="AB59" i="34"/>
  <c r="AB17" i="34"/>
  <c r="AB52" i="34"/>
  <c r="AB66" i="34"/>
  <c r="AB34" i="34"/>
  <c r="AB20" i="34"/>
  <c r="AB27" i="34"/>
  <c r="AB51" i="34"/>
  <c r="AB65" i="34"/>
  <c r="AB44" i="34"/>
  <c r="AB58" i="34"/>
  <c r="AB26" i="34"/>
  <c r="AB57" i="34"/>
  <c r="AB63" i="32"/>
  <c r="AH63" i="32" s="1"/>
  <c r="AB47" i="32"/>
  <c r="AH47" i="32" s="1"/>
  <c r="AB64" i="32"/>
  <c r="AH64" i="32" s="1"/>
  <c r="AB48" i="32"/>
  <c r="AH48" i="32" s="1"/>
  <c r="AB32" i="32"/>
  <c r="AH32" i="32" s="1"/>
  <c r="AB31" i="32"/>
  <c r="AH31" i="32" s="1"/>
  <c r="AB62" i="32"/>
  <c r="AH62" i="32" s="1"/>
  <c r="AB46" i="32"/>
  <c r="AH46" i="32" s="1"/>
  <c r="AB30" i="32"/>
  <c r="AH30" i="32" s="1"/>
  <c r="AB61" i="32"/>
  <c r="AH61" i="32" s="1"/>
  <c r="AB45" i="32"/>
  <c r="AH45" i="32" s="1"/>
  <c r="AB29" i="32"/>
  <c r="AH29" i="32" s="1"/>
  <c r="AB60" i="32"/>
  <c r="AH60" i="32" s="1"/>
  <c r="AB44" i="32"/>
  <c r="AH44" i="32" s="1"/>
  <c r="AB28" i="32"/>
  <c r="AH28" i="32" s="1"/>
  <c r="AB59" i="32"/>
  <c r="AH59" i="32" s="1"/>
  <c r="AB43" i="32"/>
  <c r="AH43" i="32" s="1"/>
  <c r="AB27" i="32"/>
  <c r="AH27" i="32" s="1"/>
  <c r="AB58" i="32"/>
  <c r="AH58" i="32" s="1"/>
  <c r="AB42" i="32"/>
  <c r="AH42" i="32" s="1"/>
  <c r="AB26" i="32"/>
  <c r="AH26" i="32" s="1"/>
  <c r="AB57" i="32"/>
  <c r="AH57" i="32" s="1"/>
  <c r="AB41" i="32"/>
  <c r="AH41" i="32" s="1"/>
  <c r="AB25" i="32"/>
  <c r="AH25" i="32" s="1"/>
  <c r="AB56" i="32"/>
  <c r="AH56" i="32" s="1"/>
  <c r="AB40" i="32"/>
  <c r="AH40" i="32" s="1"/>
  <c r="AB24" i="32"/>
  <c r="AH24" i="32" s="1"/>
  <c r="AB71" i="32"/>
  <c r="AH71" i="32" s="1"/>
  <c r="AB55" i="32"/>
  <c r="AH55" i="32" s="1"/>
  <c r="AB39" i="32"/>
  <c r="AH39" i="32" s="1"/>
  <c r="AB23" i="32"/>
  <c r="AH23" i="32" s="1"/>
  <c r="AB70" i="32"/>
  <c r="AH70" i="32" s="1"/>
  <c r="AB54" i="32"/>
  <c r="AH54" i="32" s="1"/>
  <c r="AB38" i="32"/>
  <c r="AH38" i="32" s="1"/>
  <c r="AB22" i="32"/>
  <c r="AH22" i="32" s="1"/>
  <c r="AB69" i="32"/>
  <c r="AH69" i="32" s="1"/>
  <c r="AB53" i="32"/>
  <c r="AH53" i="32" s="1"/>
  <c r="AB37" i="32"/>
  <c r="AH37" i="32" s="1"/>
  <c r="AB21" i="32"/>
  <c r="AB68" i="32"/>
  <c r="AH68" i="32" s="1"/>
  <c r="AB52" i="32"/>
  <c r="AH52" i="32" s="1"/>
  <c r="AB36" i="32"/>
  <c r="AH36" i="32" s="1"/>
  <c r="AB20" i="32"/>
  <c r="AB67" i="32"/>
  <c r="AH67" i="32" s="1"/>
  <c r="AB51" i="32"/>
  <c r="AH51" i="32" s="1"/>
  <c r="AB35" i="32"/>
  <c r="AH35" i="32" s="1"/>
  <c r="AB19" i="32"/>
  <c r="AB66" i="32"/>
  <c r="AH66" i="32" s="1"/>
  <c r="AB50" i="32"/>
  <c r="AH50" i="32" s="1"/>
  <c r="AB34" i="32"/>
  <c r="AH34" i="32" s="1"/>
  <c r="AB18" i="32"/>
  <c r="AB65" i="32"/>
  <c r="AH65" i="32" s="1"/>
  <c r="AB49" i="32"/>
  <c r="AH49" i="32" s="1"/>
  <c r="AB33" i="32"/>
  <c r="AH33" i="32" s="1"/>
  <c r="AB17" i="32"/>
  <c r="AB67" i="8"/>
  <c r="AF67" i="8" s="1"/>
  <c r="AB51" i="8"/>
  <c r="AF51" i="8" s="1"/>
  <c r="AB35" i="8"/>
  <c r="AF35" i="8" s="1"/>
  <c r="AB58" i="8"/>
  <c r="AF58" i="8" s="1"/>
  <c r="AB42" i="8"/>
  <c r="AF42" i="8" s="1"/>
  <c r="AB26" i="8"/>
  <c r="AF26" i="8" s="1"/>
  <c r="AB66" i="8"/>
  <c r="AF66" i="8" s="1"/>
  <c r="AB50" i="8"/>
  <c r="AF50" i="8" s="1"/>
  <c r="AB34" i="8"/>
  <c r="AF34" i="8" s="1"/>
  <c r="AB61" i="8"/>
  <c r="AF61" i="8" s="1"/>
  <c r="AB27" i="8"/>
  <c r="AF27" i="8" s="1"/>
  <c r="AB39" i="8"/>
  <c r="AF39" i="8" s="1"/>
  <c r="AB57" i="8"/>
  <c r="AF57" i="8" s="1"/>
  <c r="AB41" i="8"/>
  <c r="AF41" i="8" s="1"/>
  <c r="AB25" i="8"/>
  <c r="AF25" i="8" s="1"/>
  <c r="AB65" i="8"/>
  <c r="AF65" i="8" s="1"/>
  <c r="AB49" i="8"/>
  <c r="AF49" i="8" s="1"/>
  <c r="AB33" i="8"/>
  <c r="AF33" i="8" s="1"/>
  <c r="AB68" i="8"/>
  <c r="AF68" i="8" s="1"/>
  <c r="AB52" i="8"/>
  <c r="AF52" i="8" s="1"/>
  <c r="AB36" i="8"/>
  <c r="AF36" i="8" s="1"/>
  <c r="AB60" i="8"/>
  <c r="AF60" i="8" s="1"/>
  <c r="AB44" i="8"/>
  <c r="AF44" i="8" s="1"/>
  <c r="AB28" i="8"/>
  <c r="AF28" i="8" s="1"/>
  <c r="AB17" i="8"/>
  <c r="AF17" i="8" s="1"/>
  <c r="AB46" i="8"/>
  <c r="AF46" i="8" s="1"/>
  <c r="AB71" i="8"/>
  <c r="AF71" i="8" s="1"/>
  <c r="AB55" i="8"/>
  <c r="AF55" i="8" s="1"/>
  <c r="AB23" i="8"/>
  <c r="AF23" i="8" s="1"/>
  <c r="AB38" i="8"/>
  <c r="AF38" i="8" s="1"/>
  <c r="AB40" i="8"/>
  <c r="AF40" i="8" s="1"/>
  <c r="AB16" i="8"/>
  <c r="AF16" i="8" s="1"/>
  <c r="AB56" i="8"/>
  <c r="AF56" i="8" s="1"/>
  <c r="AB70" i="8"/>
  <c r="AF70" i="8" s="1"/>
  <c r="AB54" i="8"/>
  <c r="AF54" i="8" s="1"/>
  <c r="AB22" i="8"/>
  <c r="AF22" i="8" s="1"/>
  <c r="AB20" i="8"/>
  <c r="AF20" i="8" s="1"/>
  <c r="AB19" i="8"/>
  <c r="AF19" i="8" s="1"/>
  <c r="AB18" i="8"/>
  <c r="AF18" i="8" s="1"/>
  <c r="AB24" i="8"/>
  <c r="AF24" i="8" s="1"/>
  <c r="AB63" i="8"/>
  <c r="AF63" i="8" s="1"/>
  <c r="AB47" i="8"/>
  <c r="AF47" i="8" s="1"/>
  <c r="AB64" i="8"/>
  <c r="AF64" i="8" s="1"/>
  <c r="AB48" i="8"/>
  <c r="AF48" i="8" s="1"/>
  <c r="AB32" i="8"/>
  <c r="AF32" i="8" s="1"/>
  <c r="AB31" i="8"/>
  <c r="AF31" i="8" s="1"/>
  <c r="AB30" i="8"/>
  <c r="AF30" i="8" s="1"/>
  <c r="G52" i="10"/>
  <c r="G53" i="10"/>
  <c r="J25" i="10"/>
  <c r="J26" i="10"/>
  <c r="G25" i="10"/>
  <c r="G26" i="10"/>
  <c r="G67" i="10"/>
  <c r="G72" i="10"/>
  <c r="G78" i="10"/>
  <c r="G77" i="10"/>
  <c r="G61" i="10"/>
  <c r="G66" i="10"/>
  <c r="G62" i="10"/>
  <c r="G93" i="10"/>
  <c r="G71" i="10"/>
  <c r="G104" i="10"/>
  <c r="G76" i="10"/>
  <c r="G60" i="10"/>
  <c r="G82" i="10"/>
  <c r="G97" i="10"/>
  <c r="G81" i="10"/>
  <c r="G65" i="10"/>
  <c r="G86" i="10"/>
  <c r="G70" i="10"/>
  <c r="G83" i="10"/>
  <c r="G103" i="10"/>
  <c r="G108" i="10"/>
  <c r="G75" i="10"/>
  <c r="G59" i="10"/>
  <c r="G99" i="10"/>
  <c r="G92" i="10"/>
  <c r="G102" i="10"/>
  <c r="G96" i="10"/>
  <c r="G80" i="10"/>
  <c r="G64" i="10"/>
  <c r="G94" i="10"/>
  <c r="G101" i="10"/>
  <c r="G85" i="10"/>
  <c r="G69" i="10"/>
  <c r="G110" i="10"/>
  <c r="G109" i="10"/>
  <c r="G74" i="10"/>
  <c r="G58" i="10"/>
  <c r="G88" i="10"/>
  <c r="G90" i="10"/>
  <c r="G95" i="10"/>
  <c r="G79" i="10"/>
  <c r="G63" i="10"/>
  <c r="G87" i="10"/>
  <c r="G107" i="10"/>
  <c r="G91" i="10"/>
  <c r="G106" i="10"/>
  <c r="G100" i="10"/>
  <c r="G84" i="10"/>
  <c r="G68" i="10"/>
  <c r="G98" i="10"/>
  <c r="G105" i="10"/>
  <c r="G89" i="10"/>
  <c r="G73" i="10"/>
  <c r="G57" i="10"/>
  <c r="G56" i="10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C34" i="8"/>
  <c r="D34" i="8"/>
  <c r="E34" i="8"/>
  <c r="C35" i="8"/>
  <c r="D35" i="8"/>
  <c r="E35" i="8"/>
  <c r="C36" i="8"/>
  <c r="D36" i="8"/>
  <c r="E36" i="8"/>
  <c r="C37" i="8"/>
  <c r="D37" i="8"/>
  <c r="E37" i="8"/>
  <c r="C38" i="8"/>
  <c r="D38" i="8"/>
  <c r="E38" i="8"/>
  <c r="C39" i="8"/>
  <c r="D39" i="8"/>
  <c r="E39" i="8"/>
  <c r="C40" i="8"/>
  <c r="D40" i="8"/>
  <c r="E40" i="8"/>
  <c r="C41" i="8"/>
  <c r="D41" i="8"/>
  <c r="E41" i="8"/>
  <c r="C42" i="8"/>
  <c r="D42" i="8"/>
  <c r="E42" i="8"/>
  <c r="C43" i="8"/>
  <c r="D43" i="8"/>
  <c r="E43" i="8"/>
  <c r="C44" i="8"/>
  <c r="D44" i="8"/>
  <c r="E44" i="8"/>
  <c r="C45" i="8"/>
  <c r="D45" i="8"/>
  <c r="E45" i="8"/>
  <c r="C46" i="8"/>
  <c r="D46" i="8"/>
  <c r="E46" i="8"/>
  <c r="C47" i="8"/>
  <c r="D47" i="8"/>
  <c r="E47" i="8"/>
  <c r="C48" i="8"/>
  <c r="D48" i="8"/>
  <c r="E48" i="8"/>
  <c r="C49" i="8"/>
  <c r="D49" i="8"/>
  <c r="E49" i="8"/>
  <c r="C50" i="8"/>
  <c r="D50" i="8"/>
  <c r="E50" i="8"/>
  <c r="C51" i="8"/>
  <c r="D51" i="8"/>
  <c r="E51" i="8"/>
  <c r="C52" i="8"/>
  <c r="D52" i="8"/>
  <c r="E52" i="8"/>
  <c r="C53" i="8"/>
  <c r="D53" i="8"/>
  <c r="E53" i="8"/>
  <c r="C54" i="8"/>
  <c r="D54" i="8"/>
  <c r="E54" i="8"/>
  <c r="C55" i="8"/>
  <c r="D55" i="8"/>
  <c r="E55" i="8"/>
  <c r="C56" i="8"/>
  <c r="D56" i="8"/>
  <c r="E56" i="8"/>
  <c r="C57" i="8"/>
  <c r="D57" i="8"/>
  <c r="E57" i="8"/>
  <c r="C58" i="8"/>
  <c r="D58" i="8"/>
  <c r="E58" i="8"/>
  <c r="C59" i="8"/>
  <c r="D59" i="8"/>
  <c r="E59" i="8"/>
  <c r="C60" i="8"/>
  <c r="D60" i="8"/>
  <c r="E60" i="8"/>
  <c r="C61" i="8"/>
  <c r="D61" i="8"/>
  <c r="E61" i="8"/>
  <c r="C62" i="8"/>
  <c r="D62" i="8"/>
  <c r="E62" i="8"/>
  <c r="C63" i="8"/>
  <c r="D63" i="8"/>
  <c r="E63" i="8"/>
  <c r="C64" i="8"/>
  <c r="D64" i="8"/>
  <c r="E64" i="8"/>
  <c r="C65" i="8"/>
  <c r="D65" i="8"/>
  <c r="E65" i="8"/>
  <c r="C66" i="8"/>
  <c r="D66" i="8"/>
  <c r="E66" i="8"/>
  <c r="C67" i="8"/>
  <c r="D67" i="8"/>
  <c r="E67" i="8"/>
  <c r="C68" i="8"/>
  <c r="D68" i="8"/>
  <c r="E68" i="8"/>
  <c r="C69" i="8"/>
  <c r="D69" i="8"/>
  <c r="E69" i="8"/>
  <c r="C70" i="8"/>
  <c r="D70" i="8"/>
  <c r="E70" i="8"/>
  <c r="C71" i="8"/>
  <c r="D71" i="8"/>
  <c r="E71" i="8"/>
  <c r="E17" i="8"/>
  <c r="F73" i="10"/>
  <c r="F85" i="10"/>
  <c r="F61" i="10"/>
  <c r="F93" i="10"/>
  <c r="F77" i="10"/>
  <c r="F86" i="10"/>
  <c r="F108" i="10"/>
  <c r="F89" i="10"/>
  <c r="F102" i="10"/>
  <c r="D112" i="10"/>
  <c r="F88" i="10"/>
  <c r="F109" i="10"/>
  <c r="F97" i="10"/>
  <c r="D113" i="10"/>
  <c r="F99" i="10"/>
  <c r="F68" i="10"/>
  <c r="F62" i="10"/>
  <c r="F83" i="10"/>
  <c r="F56" i="10"/>
  <c r="F87" i="10"/>
  <c r="F91" i="10"/>
  <c r="F59" i="10"/>
  <c r="F71" i="10"/>
  <c r="F104" i="10"/>
  <c r="F74" i="10"/>
  <c r="F79" i="10"/>
  <c r="F101" i="10"/>
  <c r="F92" i="10"/>
  <c r="F64" i="10"/>
  <c r="F69" i="10"/>
  <c r="F66" i="10"/>
  <c r="F63" i="10"/>
  <c r="F98" i="10"/>
  <c r="F82" i="10"/>
  <c r="F80" i="10"/>
  <c r="F100" i="10"/>
  <c r="F58" i="10"/>
  <c r="F57" i="10"/>
  <c r="F103" i="10"/>
  <c r="F96" i="10"/>
  <c r="F75" i="10"/>
  <c r="F95" i="10"/>
  <c r="F106" i="10"/>
  <c r="F94" i="10"/>
  <c r="F84" i="10"/>
  <c r="F60" i="10"/>
  <c r="F65" i="10"/>
  <c r="F105" i="10"/>
  <c r="F78" i="10"/>
  <c r="F72" i="10"/>
  <c r="F107" i="10"/>
  <c r="F90" i="10"/>
  <c r="F76" i="10"/>
  <c r="F81" i="10"/>
  <c r="F70" i="10"/>
  <c r="F67" i="10"/>
  <c r="F110" i="10"/>
  <c r="AF20" i="34" l="1"/>
  <c r="AF20" i="32"/>
  <c r="AF70" i="32"/>
  <c r="AF70" i="34"/>
  <c r="AF33" i="34"/>
  <c r="AF33" i="32"/>
  <c r="AF51" i="32"/>
  <c r="AF51" i="34"/>
  <c r="AF56" i="32"/>
  <c r="AF56" i="34"/>
  <c r="AF65" i="34"/>
  <c r="AF65" i="32"/>
  <c r="AF30" i="32"/>
  <c r="AF30" i="34"/>
  <c r="AF40" i="32"/>
  <c r="AF40" i="34"/>
  <c r="AF25" i="34"/>
  <c r="AF25" i="32"/>
  <c r="AF67" i="32"/>
  <c r="AF67" i="34"/>
  <c r="AF31" i="32"/>
  <c r="AF31" i="34"/>
  <c r="AF38" i="34"/>
  <c r="AF38" i="32"/>
  <c r="AF41" i="34"/>
  <c r="AF41" i="32"/>
  <c r="AF32" i="32"/>
  <c r="AF32" i="34"/>
  <c r="AF23" i="32"/>
  <c r="AF23" i="34"/>
  <c r="AF57" i="34"/>
  <c r="AF57" i="32"/>
  <c r="AF49" i="34"/>
  <c r="AF49" i="32"/>
  <c r="AF48" i="32"/>
  <c r="AF48" i="34"/>
  <c r="AF55" i="32"/>
  <c r="AF55" i="34"/>
  <c r="AF39" i="32"/>
  <c r="AF39" i="34"/>
  <c r="AF64" i="34"/>
  <c r="AF64" i="32"/>
  <c r="AF71" i="34"/>
  <c r="AF71" i="32"/>
  <c r="AF27" i="32"/>
  <c r="AF27" i="34"/>
  <c r="AF47" i="32"/>
  <c r="AF47" i="34"/>
  <c r="AF46" i="32"/>
  <c r="AF46" i="34"/>
  <c r="AF61" i="34"/>
  <c r="AF61" i="32"/>
  <c r="AF63" i="32"/>
  <c r="AF63" i="34"/>
  <c r="AF17" i="34"/>
  <c r="AF17" i="32"/>
  <c r="AF34" i="34"/>
  <c r="AF34" i="32"/>
  <c r="AF50" i="34"/>
  <c r="AF50" i="32"/>
  <c r="AF18" i="34"/>
  <c r="AF18" i="32"/>
  <c r="AF44" i="32"/>
  <c r="AF44" i="34"/>
  <c r="AF66" i="34"/>
  <c r="AF66" i="32"/>
  <c r="AF28" i="32"/>
  <c r="AF28" i="34"/>
  <c r="AF19" i="32"/>
  <c r="AF19" i="34"/>
  <c r="AF60" i="32"/>
  <c r="AF60" i="34"/>
  <c r="AF26" i="32"/>
  <c r="AF26" i="34"/>
  <c r="AF36" i="34"/>
  <c r="AF36" i="32"/>
  <c r="AF42" i="32"/>
  <c r="AF42" i="34"/>
  <c r="AF24" i="34"/>
  <c r="AF24" i="32"/>
  <c r="AF22" i="32"/>
  <c r="AF22" i="34"/>
  <c r="AF52" i="34"/>
  <c r="AF52" i="32"/>
  <c r="AF58" i="32"/>
  <c r="AF58" i="34"/>
  <c r="AF54" i="34"/>
  <c r="AF54" i="32"/>
  <c r="AF68" i="34"/>
  <c r="AF68" i="32"/>
  <c r="AF35" i="32"/>
  <c r="AF35" i="34"/>
  <c r="AF16" i="34"/>
  <c r="AH16" i="34" s="1"/>
  <c r="AF16" i="32"/>
  <c r="AI16" i="32" s="1"/>
  <c r="AH18" i="32"/>
  <c r="AH21" i="32"/>
  <c r="AH19" i="32"/>
  <c r="AH17" i="32"/>
  <c r="AH20" i="32"/>
  <c r="AG20" i="34"/>
  <c r="AG50" i="34"/>
  <c r="AG50" i="32" s="1"/>
  <c r="AG47" i="34"/>
  <c r="AG47" i="32" s="1"/>
  <c r="AG70" i="34"/>
  <c r="AG66" i="34"/>
  <c r="AG66" i="32" s="1"/>
  <c r="AG36" i="34"/>
  <c r="AG36" i="32" s="1"/>
  <c r="AG24" i="34"/>
  <c r="AG24" i="32" s="1"/>
  <c r="AG17" i="34"/>
  <c r="AG17" i="32" s="1"/>
  <c r="AG49" i="34"/>
  <c r="AG49" i="32" s="1"/>
  <c r="AG46" i="34"/>
  <c r="AG46" i="32" s="1"/>
  <c r="AG59" i="34"/>
  <c r="AG19" i="34"/>
  <c r="AG19" i="32" s="1"/>
  <c r="AG30" i="34"/>
  <c r="AG71" i="34"/>
  <c r="AG67" i="34"/>
  <c r="AG67" i="32" s="1"/>
  <c r="AG25" i="34"/>
  <c r="AG55" i="34"/>
  <c r="AG55" i="32" s="1"/>
  <c r="AG61" i="34"/>
  <c r="AG61" i="32" s="1"/>
  <c r="AG42" i="34"/>
  <c r="AG42" i="32" s="1"/>
  <c r="AG21" i="34"/>
  <c r="AG21" i="32" s="1"/>
  <c r="AG62" i="34"/>
  <c r="AG35" i="34"/>
  <c r="AG35" i="32" s="1"/>
  <c r="AG64" i="34"/>
  <c r="AG64" i="32" s="1"/>
  <c r="AG37" i="34"/>
  <c r="AG57" i="34"/>
  <c r="AG57" i="32" s="1"/>
  <c r="AG28" i="34"/>
  <c r="AG28" i="32" s="1"/>
  <c r="AG40" i="34"/>
  <c r="AG40" i="32" s="1"/>
  <c r="AG48" i="34"/>
  <c r="AG48" i="32" s="1"/>
  <c r="AG26" i="34"/>
  <c r="AG26" i="32" s="1"/>
  <c r="AG33" i="34"/>
  <c r="AG33" i="32" s="1"/>
  <c r="AG22" i="34"/>
  <c r="AG22" i="32" s="1"/>
  <c r="AG38" i="34"/>
  <c r="AG38" i="32" s="1"/>
  <c r="AG68" i="34"/>
  <c r="AG68" i="32" s="1"/>
  <c r="AG43" i="34"/>
  <c r="AG58" i="34"/>
  <c r="AG58" i="32" s="1"/>
  <c r="AG60" i="34"/>
  <c r="AG60" i="32" s="1"/>
  <c r="AG63" i="34"/>
  <c r="AG63" i="32" s="1"/>
  <c r="AG31" i="34"/>
  <c r="AG31" i="32" s="1"/>
  <c r="AG44" i="34"/>
  <c r="AG44" i="32" s="1"/>
  <c r="AG69" i="34"/>
  <c r="AG56" i="34"/>
  <c r="AG56" i="32" s="1"/>
  <c r="AG29" i="34"/>
  <c r="AG52" i="34"/>
  <c r="AG52" i="32" s="1"/>
  <c r="AG65" i="34"/>
  <c r="AG65" i="32" s="1"/>
  <c r="AG23" i="34"/>
  <c r="AG53" i="34"/>
  <c r="AG39" i="34"/>
  <c r="AG39" i="32" s="1"/>
  <c r="AG54" i="34"/>
  <c r="AG54" i="32" s="1"/>
  <c r="AG34" i="34"/>
  <c r="AG34" i="32" s="1"/>
  <c r="AG51" i="34"/>
  <c r="AG51" i="32" s="1"/>
  <c r="AG41" i="34"/>
  <c r="AG41" i="32" s="1"/>
  <c r="AG45" i="34"/>
  <c r="AG27" i="34"/>
  <c r="AG27" i="32" s="1"/>
  <c r="AG18" i="34"/>
  <c r="AG18" i="32" s="1"/>
  <c r="AG32" i="34"/>
  <c r="AG32" i="32" s="1"/>
  <c r="G54" i="10"/>
  <c r="D114" i="10"/>
  <c r="AI38" i="32" l="1"/>
  <c r="AI39" i="32"/>
  <c r="AI51" i="32"/>
  <c r="AH62" i="34"/>
  <c r="AG62" i="32"/>
  <c r="AI62" i="32" s="1"/>
  <c r="AI54" i="32"/>
  <c r="AI56" i="32"/>
  <c r="AH45" i="34"/>
  <c r="AG45" i="32"/>
  <c r="AI45" i="32" s="1"/>
  <c r="AI58" i="32"/>
  <c r="AI33" i="32"/>
  <c r="AH20" i="34"/>
  <c r="AG20" i="32"/>
  <c r="AI20" i="32" s="1"/>
  <c r="AI52" i="32"/>
  <c r="AI63" i="32"/>
  <c r="AI55" i="32"/>
  <c r="AI31" i="32"/>
  <c r="AH25" i="34"/>
  <c r="AG25" i="32"/>
  <c r="AI25" i="32" s="1"/>
  <c r="AI28" i="32"/>
  <c r="AI61" i="32"/>
  <c r="AI66" i="32"/>
  <c r="AI48" i="32"/>
  <c r="AI67" i="32"/>
  <c r="AH43" i="34"/>
  <c r="AG43" i="32"/>
  <c r="AI43" i="32" s="1"/>
  <c r="AH53" i="34"/>
  <c r="AG53" i="32"/>
  <c r="AI53" i="32" s="1"/>
  <c r="AH71" i="34"/>
  <c r="AG71" i="32"/>
  <c r="AI71" i="32" s="1"/>
  <c r="AI22" i="32"/>
  <c r="AI49" i="32"/>
  <c r="AH23" i="34"/>
  <c r="AG23" i="32"/>
  <c r="AH30" i="34"/>
  <c r="AG30" i="32"/>
  <c r="AI30" i="32" s="1"/>
  <c r="AI24" i="32"/>
  <c r="AI46" i="32"/>
  <c r="AI44" i="32"/>
  <c r="AI57" i="32"/>
  <c r="AH59" i="34"/>
  <c r="AG59" i="32"/>
  <c r="AI59" i="32" s="1"/>
  <c r="AI47" i="32"/>
  <c r="AI40" i="32"/>
  <c r="AI42" i="32"/>
  <c r="AH70" i="34"/>
  <c r="AG70" i="32"/>
  <c r="AI70" i="32" s="1"/>
  <c r="AH29" i="34"/>
  <c r="AG29" i="32"/>
  <c r="AI29" i="32" s="1"/>
  <c r="AI36" i="32"/>
  <c r="AI50" i="32"/>
  <c r="AI27" i="32"/>
  <c r="AI23" i="32"/>
  <c r="AI60" i="32"/>
  <c r="AH69" i="34"/>
  <c r="AG69" i="32"/>
  <c r="AI69" i="32" s="1"/>
  <c r="AH37" i="34"/>
  <c r="AG37" i="32"/>
  <c r="AI37" i="32" s="1"/>
  <c r="AI35" i="32"/>
  <c r="AI65" i="32"/>
  <c r="AI68" i="32"/>
  <c r="AI32" i="32"/>
  <c r="AI26" i="32"/>
  <c r="AI34" i="32"/>
  <c r="AI64" i="32"/>
  <c r="AI41" i="32"/>
  <c r="AH50" i="34"/>
  <c r="AH26" i="34"/>
  <c r="AH68" i="34"/>
  <c r="AH67" i="34"/>
  <c r="AH57" i="34"/>
  <c r="AH48" i="34"/>
  <c r="AH40" i="34"/>
  <c r="AH33" i="34"/>
  <c r="AH32" i="34"/>
  <c r="AH27" i="34"/>
  <c r="AH46" i="34"/>
  <c r="AH52" i="34"/>
  <c r="AH34" i="34"/>
  <c r="AI17" i="32"/>
  <c r="AH65" i="34"/>
  <c r="AH19" i="34"/>
  <c r="AH28" i="34"/>
  <c r="AH31" i="34"/>
  <c r="AH61" i="34"/>
  <c r="AH56" i="34"/>
  <c r="AH55" i="34"/>
  <c r="AH64" i="34"/>
  <c r="AH51" i="34"/>
  <c r="AH22" i="34"/>
  <c r="AH35" i="34"/>
  <c r="AH41" i="34"/>
  <c r="AI18" i="32"/>
  <c r="AH39" i="34"/>
  <c r="AI19" i="32"/>
  <c r="AH24" i="34"/>
  <c r="AH17" i="34"/>
  <c r="AH36" i="34"/>
  <c r="AH44" i="34"/>
  <c r="AH54" i="34"/>
  <c r="AH38" i="34"/>
  <c r="AH49" i="34"/>
  <c r="AH63" i="34"/>
  <c r="AH66" i="34"/>
  <c r="AH60" i="34"/>
  <c r="AH18" i="34"/>
  <c r="AH58" i="34"/>
  <c r="AH42" i="34"/>
  <c r="AH47" i="34"/>
  <c r="AB21" i="8"/>
  <c r="AF21" i="8" s="1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F16" i="8"/>
  <c r="E83" i="7"/>
  <c r="C5" i="10"/>
  <c r="C7" i="10"/>
  <c r="C6" i="10"/>
  <c r="C22" i="10"/>
  <c r="C48" i="10"/>
  <c r="C3" i="10"/>
  <c r="C49" i="10"/>
  <c r="C26" i="10"/>
  <c r="C40" i="10"/>
  <c r="C21" i="10"/>
  <c r="C23" i="10"/>
  <c r="C14" i="10"/>
  <c r="C52" i="10"/>
  <c r="C37" i="10"/>
  <c r="C12" i="10"/>
  <c r="C20" i="10"/>
  <c r="C53" i="10"/>
  <c r="C28" i="10"/>
  <c r="C11" i="10"/>
  <c r="C17" i="10"/>
  <c r="C4" i="10"/>
  <c r="C9" i="10"/>
  <c r="C18" i="10"/>
  <c r="C44" i="10"/>
  <c r="C25" i="10"/>
  <c r="C10" i="10"/>
  <c r="C8" i="10"/>
  <c r="C16" i="10"/>
  <c r="C15" i="10"/>
  <c r="C32" i="10"/>
  <c r="C29" i="10"/>
  <c r="C19" i="10"/>
  <c r="C45" i="10"/>
  <c r="C41" i="10"/>
  <c r="AF21" i="34" l="1"/>
  <c r="AH21" i="34" s="1"/>
  <c r="AF21" i="32"/>
  <c r="AI21" i="32" s="1"/>
  <c r="D25" i="10"/>
  <c r="D26" i="10"/>
  <c r="D15" i="10"/>
  <c r="D3" i="10"/>
  <c r="D21" i="10"/>
  <c r="D8" i="10"/>
  <c r="D29" i="10"/>
  <c r="D14" i="10"/>
  <c r="D17" i="10"/>
  <c r="D20" i="10"/>
  <c r="D5" i="10"/>
  <c r="D6" i="10"/>
  <c r="D7" i="10"/>
  <c r="D10" i="10"/>
  <c r="D32" i="10"/>
  <c r="D16" i="10"/>
  <c r="D4" i="10"/>
  <c r="D22" i="10"/>
  <c r="D23" i="10"/>
  <c r="D9" i="10"/>
  <c r="D11" i="10"/>
  <c r="D33" i="10"/>
  <c r="D36" i="10"/>
  <c r="D37" i="10"/>
  <c r="D40" i="10"/>
  <c r="D41" i="10"/>
  <c r="D44" i="10"/>
  <c r="D45" i="10"/>
  <c r="D12" i="10"/>
  <c r="D18" i="10"/>
  <c r="D19" i="10"/>
  <c r="D49" i="10"/>
  <c r="D52" i="10"/>
  <c r="D48" i="10"/>
  <c r="D53" i="10"/>
  <c r="D28" i="10"/>
  <c r="Z10" i="8"/>
  <c r="X10" i="8"/>
  <c r="V10" i="8"/>
  <c r="T10" i="8"/>
  <c r="R10" i="8"/>
  <c r="P10" i="8"/>
  <c r="N10" i="8"/>
  <c r="J10" i="8"/>
  <c r="L10" i="8"/>
  <c r="H10" i="8"/>
  <c r="E81" i="7"/>
  <c r="E80" i="7"/>
  <c r="D81" i="7"/>
  <c r="D80" i="7"/>
  <c r="E79" i="7"/>
  <c r="D79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AD19" i="8" l="1"/>
  <c r="AD19" i="34"/>
  <c r="AD19" i="32"/>
  <c r="AD18" i="8"/>
  <c r="AD18" i="34"/>
  <c r="AD18" i="32"/>
  <c r="AD17" i="8"/>
  <c r="AD17" i="34"/>
  <c r="AD17" i="32"/>
  <c r="AD21" i="34"/>
  <c r="AD21" i="32"/>
  <c r="AD21" i="8"/>
  <c r="AD20" i="34"/>
  <c r="AD20" i="32"/>
  <c r="AD20" i="8"/>
  <c r="D54" i="10"/>
  <c r="D34" i="10"/>
  <c r="D42" i="10"/>
  <c r="D46" i="10"/>
  <c r="D30" i="10"/>
  <c r="D38" i="10"/>
  <c r="D50" i="10"/>
  <c r="F7" i="7"/>
  <c r="AD16" i="8" l="1"/>
  <c r="AD16" i="32"/>
  <c r="AD16" i="34"/>
</calcChain>
</file>

<file path=xl/sharedStrings.xml><?xml version="1.0" encoding="utf-8"?>
<sst xmlns="http://schemas.openxmlformats.org/spreadsheetml/2006/main" count="339" uniqueCount="183">
  <si>
    <t>SCHOOL OF ARTS AND SCIENCES</t>
  </si>
  <si>
    <t>Name of Faculty:</t>
  </si>
  <si>
    <t>Time:</t>
  </si>
  <si>
    <t>Department:</t>
  </si>
  <si>
    <t>Course Number:</t>
  </si>
  <si>
    <t>Course Title:</t>
  </si>
  <si>
    <t>ABSENCES</t>
  </si>
  <si>
    <t>MIDTERM GRADE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</si>
  <si>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</si>
  <si>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</si>
  <si>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</si>
  <si>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</si>
  <si>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</si>
  <si>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</si>
  <si>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</si>
  <si>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</si>
  <si>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</si>
  <si>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</si>
  <si>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REMARKS</t>
  </si>
  <si>
    <t>Submitted by:</t>
  </si>
  <si>
    <t>Noted by:</t>
  </si>
  <si>
    <t>Faculty</t>
  </si>
  <si>
    <t>Chair</t>
  </si>
  <si>
    <t>Dean</t>
  </si>
  <si>
    <t>TENTATIVE MIDTERM GRADE (1/2)</t>
  </si>
  <si>
    <t>PRELIM GRADE (1/2)</t>
  </si>
  <si>
    <t>TENTATIVE FINAL GRADE (1/3)</t>
  </si>
  <si>
    <t>PRELIM GRADE (1/3)</t>
  </si>
  <si>
    <t>Transmutation Table</t>
  </si>
  <si>
    <t>Score</t>
  </si>
  <si>
    <t>EQ</t>
  </si>
  <si>
    <t>Max Absences</t>
  </si>
  <si>
    <t>Set the maximum tolerated absences a student can have</t>
  </si>
  <si>
    <t>Prelim Start</t>
  </si>
  <si>
    <t>Prelim End</t>
  </si>
  <si>
    <t>Midterm Start</t>
  </si>
  <si>
    <t>Midterm End</t>
  </si>
  <si>
    <t>Finals Start</t>
  </si>
  <si>
    <t>Finals End</t>
  </si>
  <si>
    <t>#</t>
  </si>
  <si>
    <t>Student Number</t>
  </si>
  <si>
    <t>Last Name</t>
  </si>
  <si>
    <t>First Name</t>
  </si>
  <si>
    <t># of Absences</t>
  </si>
  <si>
    <t>Prelims</t>
  </si>
  <si>
    <t>Midterm</t>
  </si>
  <si>
    <t>Finals</t>
  </si>
  <si>
    <t>Test Student</t>
  </si>
  <si>
    <t>TC</t>
  </si>
  <si>
    <t>LEGEND</t>
  </si>
  <si>
    <t>E</t>
  </si>
  <si>
    <t>NR</t>
  </si>
  <si>
    <t>H</t>
  </si>
  <si>
    <t>D</t>
  </si>
  <si>
    <t>W</t>
  </si>
  <si>
    <t>Basis for Attendance Sheet</t>
  </si>
  <si>
    <t>Term</t>
  </si>
  <si>
    <t>Column Start</t>
  </si>
  <si>
    <t>Column End</t>
  </si>
  <si>
    <t>Prelim</t>
  </si>
  <si>
    <t>0.66</t>
  </si>
  <si>
    <t>Do not edit this transmutation table</t>
  </si>
  <si>
    <t>Remarks</t>
  </si>
  <si>
    <t>Description</t>
  </si>
  <si>
    <t>Course Knowledge</t>
  </si>
  <si>
    <t>TOTAL SCORE</t>
  </si>
  <si>
    <t>University of San Jose - Recoletos</t>
  </si>
  <si>
    <t>Sem / SY:</t>
  </si>
  <si>
    <t>Test Course Title</t>
  </si>
  <si>
    <t>2nd Semester SY. 2025- 2026</t>
  </si>
  <si>
    <t>PURE AVERAGING
GRADING SYSTEM (CODE T6)</t>
  </si>
  <si>
    <t>TTh 3:00:00 PM - 4:30 PM</t>
  </si>
  <si>
    <t>John A. Doe</t>
  </si>
  <si>
    <t>SAS</t>
  </si>
  <si>
    <t># of Classes</t>
  </si>
  <si>
    <t>Passing Score</t>
  </si>
  <si>
    <t>Write your Name Here</t>
  </si>
  <si>
    <t>Write the current chair here</t>
  </si>
  <si>
    <t>Write the current Dean here</t>
  </si>
  <si>
    <t>Rm No:</t>
  </si>
  <si>
    <t>Offer No:</t>
  </si>
  <si>
    <t>WeightCells</t>
  </si>
  <si>
    <t>ValueCells</t>
  </si>
  <si>
    <t>CheckBox1_Cell</t>
  </si>
  <si>
    <t>CheckBox1_LinkCell</t>
  </si>
  <si>
    <t>TableBorder_Heading</t>
  </si>
  <si>
    <t>TableBorder_Controls</t>
  </si>
  <si>
    <t>TableBorder_StudentInfo</t>
  </si>
  <si>
    <t>TableBorder_CourseKnowledge</t>
  </si>
  <si>
    <t>TableBorder_TotalScore</t>
  </si>
  <si>
    <t>TableBorder_Absences</t>
  </si>
  <si>
    <t>TableBorder_FGRemarks</t>
  </si>
  <si>
    <t>Created by: Engr.  Violdan E. Bayocot                            |           You can contact me at:     violdan.b@gmail.com     -     violdan.bayocot@usjr.edu.ph     -     https://decr0zeath.github.io/     -     +639154938375</t>
  </si>
  <si>
    <t>BottomRemarks_Rows</t>
  </si>
  <si>
    <t>Student_DataRows1</t>
  </si>
  <si>
    <t>Student_DataRows2</t>
  </si>
  <si>
    <t>Student_DataRows3</t>
  </si>
  <si>
    <t>Student_DataRows4</t>
  </si>
  <si>
    <t>Student_DataRows5</t>
  </si>
  <si>
    <t>Student_DataRows6</t>
  </si>
  <si>
    <t>Student_DataRows7</t>
  </si>
  <si>
    <t>Student_DataRows8</t>
  </si>
  <si>
    <t>Student_DataRows9</t>
  </si>
  <si>
    <t>Student_DataRows10</t>
  </si>
  <si>
    <t>Student_DataRows11</t>
  </si>
  <si>
    <t>Student_DataRows12</t>
  </si>
  <si>
    <t>Student_DataRows13</t>
  </si>
  <si>
    <t>Student_DataRows14</t>
  </si>
  <si>
    <t>Student_DataRows15</t>
  </si>
  <si>
    <t>Student_DataRows16</t>
  </si>
  <si>
    <t>Student_DataRows17</t>
  </si>
  <si>
    <t>Student_DataRows18</t>
  </si>
  <si>
    <t>Student_DataRows19</t>
  </si>
  <si>
    <t>Student_DataRows20</t>
  </si>
  <si>
    <t>Student_DataRows21</t>
  </si>
  <si>
    <t>Student_DataRows22</t>
  </si>
  <si>
    <t>Student_DataRows23</t>
  </si>
  <si>
    <t>Student_DataRows24</t>
  </si>
  <si>
    <t>Student_DataRows25</t>
  </si>
  <si>
    <t>Student_DataRows26</t>
  </si>
  <si>
    <t>Student_DataRows27</t>
  </si>
  <si>
    <t>Student_DataRows28</t>
  </si>
  <si>
    <t>Student_DataRows29</t>
  </si>
  <si>
    <t>Student_DataRows30</t>
  </si>
  <si>
    <t>Student_DataRows31</t>
  </si>
  <si>
    <t>Student_DataRows32</t>
  </si>
  <si>
    <t>Student_DataRows33</t>
  </si>
  <si>
    <t>Student_DataRows34</t>
  </si>
  <si>
    <t>Student_DataRows35</t>
  </si>
  <si>
    <t>Student_DataRows36</t>
  </si>
  <si>
    <t>Student_DataRows37</t>
  </si>
  <si>
    <t>Student_DataRows38</t>
  </si>
  <si>
    <t>Student_DataRows39</t>
  </si>
  <si>
    <t>Student_DataRows40</t>
  </si>
  <si>
    <t>Student_DataRows41</t>
  </si>
  <si>
    <t>Student_DataRows42</t>
  </si>
  <si>
    <t>Student_DataRows43</t>
  </si>
  <si>
    <t>Student_DataRows44</t>
  </si>
  <si>
    <t>Student_DataRows45</t>
  </si>
  <si>
    <t>Student_DataRows46</t>
  </si>
  <si>
    <t>Student_DataRows47</t>
  </si>
  <si>
    <t>Student_DataRows48</t>
  </si>
  <si>
    <t>Student_DataRows49</t>
  </si>
  <si>
    <t>Student_DataRows50</t>
  </si>
  <si>
    <t>Student_DataRows51</t>
  </si>
  <si>
    <t>Student_DataRows52</t>
  </si>
  <si>
    <t>Student_DataRows53</t>
  </si>
  <si>
    <t>Student_DataRows54</t>
  </si>
  <si>
    <t>Student_DataRows55</t>
  </si>
  <si>
    <t>CheckBox2_Cell</t>
  </si>
  <si>
    <t>CheckBox2_LinkCell</t>
  </si>
  <si>
    <t>CheckBox3_Cell</t>
  </si>
  <si>
    <t>CheckBox3_LinkCell</t>
  </si>
  <si>
    <t>Show🗹 / Hide🗷 Rows with no Data</t>
  </si>
  <si>
    <t>Show🗹 / Hide🗷 Bottom Remarks</t>
  </si>
  <si>
    <t>TestOnly1</t>
  </si>
  <si>
    <t>TestOnly2</t>
  </si>
  <si>
    <t>abcd</t>
  </si>
  <si>
    <t>efg</t>
  </si>
  <si>
    <t>hijkl</t>
  </si>
  <si>
    <t>TestOnly3</t>
  </si>
  <si>
    <t>20351111111</t>
  </si>
  <si>
    <t>TableBorder_FooterRemarks</t>
  </si>
  <si>
    <t>20259876554</t>
  </si>
  <si>
    <t>TestOnly4</t>
  </si>
  <si>
    <t>qweasd</t>
  </si>
  <si>
    <t>Grading Sheet Version: v1.2.0</t>
  </si>
  <si>
    <t>20251234567</t>
  </si>
  <si>
    <t>TestOnly5</t>
  </si>
  <si>
    <t>wkoqwke</t>
  </si>
  <si>
    <t>PRELIM GRADE</t>
  </si>
  <si>
    <t>Balance Score Weighting?</t>
  </si>
  <si>
    <r>
      <t xml:space="preserve">PRESENT: </t>
    </r>
    <r>
      <rPr>
        <sz val="10"/>
        <color theme="1"/>
        <rFont val="Cambria"/>
        <family val="1"/>
      </rPr>
      <t>student was present for the class</t>
    </r>
  </si>
  <si>
    <r>
      <t xml:space="preserve">LATE: </t>
    </r>
    <r>
      <rPr>
        <sz val="10"/>
        <color theme="1"/>
        <rFont val="Cambria"/>
        <family val="1"/>
      </rPr>
      <t>student was late for the class</t>
    </r>
  </si>
  <si>
    <r>
      <t xml:space="preserve">EXCUSED: </t>
    </r>
    <r>
      <rPr>
        <sz val="10"/>
        <color theme="1"/>
        <rFont val="Cambria"/>
        <family val="1"/>
      </rPr>
      <t>Student was absent for the class but legally considered present</t>
    </r>
  </si>
  <si>
    <r>
      <t xml:space="preserve">NOT REQUIRED: </t>
    </r>
    <r>
      <rPr>
        <sz val="10"/>
        <color theme="1"/>
        <rFont val="Cambria"/>
        <family val="1"/>
      </rPr>
      <t>Teacher is present in the class but student attendance is not required</t>
    </r>
  </si>
  <si>
    <r>
      <t xml:space="preserve">HOLIDAY: </t>
    </r>
    <r>
      <rPr>
        <sz val="10"/>
        <color theme="1"/>
        <rFont val="Cambria"/>
        <family val="1"/>
      </rPr>
      <t>Non school day</t>
    </r>
  </si>
  <si>
    <r>
      <t xml:space="preserve">TEACHER CANCEL: </t>
    </r>
    <r>
      <rPr>
        <sz val="10"/>
        <color theme="1"/>
        <rFont val="Cambria"/>
        <family val="1"/>
      </rPr>
      <t>Teacher cancelled class due to school activities or personal agenda</t>
    </r>
  </si>
  <si>
    <r>
      <t xml:space="preserve">ABSENT: </t>
    </r>
    <r>
      <rPr>
        <sz val="10"/>
        <color theme="1"/>
        <rFont val="Cambria"/>
        <family val="1"/>
      </rPr>
      <t>Student was absent for the class</t>
    </r>
  </si>
  <si>
    <r>
      <t xml:space="preserve">DROPPED: </t>
    </r>
    <r>
      <rPr>
        <sz val="10"/>
        <color theme="1"/>
        <rFont val="Cambria"/>
        <family val="1"/>
      </rPr>
      <t>Teacher dropped the student from the class</t>
    </r>
  </si>
  <si>
    <r>
      <t xml:space="preserve">WITHDRAWN: </t>
    </r>
    <r>
      <rPr>
        <sz val="10"/>
        <color theme="1"/>
        <rFont val="Cambria"/>
        <family val="1"/>
      </rPr>
      <t>Student has withdrawn from the class</t>
    </r>
  </si>
  <si>
    <t>TENTATIVE MIDTERM GRADE (1/3)</t>
  </si>
  <si>
    <t>FINAL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</si>
</sst>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??_);_(@_)"/>
    <numFmt numFmtId="165" formatCode="mm/dd/yy;@"/>
    <numFmt numFmtId="166" formatCode="0.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entury"/>
      <family val="1"/>
    </font>
    <font>
      <sz val="11"/>
      <color theme="1"/>
      <name val="Century"/>
      <family val="1"/>
    </font>
    <font>
      <b/>
      <sz val="12"/>
      <color theme="1"/>
      <name val="Century"/>
      <family val="1"/>
    </font>
    <font>
      <b/>
      <sz val="10"/>
      <color theme="1"/>
      <name val="Century"/>
      <family val="1"/>
    </font>
    <font>
      <b/>
      <sz val="10"/>
      <color rgb="FFFF0000"/>
      <name val="Lexend"/>
    </font>
    <font>
      <b/>
      <sz val="10"/>
      <color rgb="FFFF0000"/>
      <name val="Century"/>
      <family val="1"/>
    </font>
    <font>
      <b/>
      <sz val="11"/>
      <color theme="1"/>
      <name val="Cambria"/>
      <family val="1"/>
    </font>
    <font>
      <b/>
      <sz val="9"/>
      <color theme="1"/>
      <name val="Cambria"/>
      <family val="1"/>
    </font>
    <font>
      <sz val="11"/>
      <color theme="1"/>
      <name val="Cambria"/>
      <family val="1"/>
    </font>
    <font>
      <b/>
      <sz val="10"/>
      <color theme="1"/>
      <name val="Cambria"/>
      <family val="1"/>
    </font>
    <font>
      <sz val="7"/>
      <color theme="1"/>
      <name val="Cambria"/>
      <family val="1"/>
    </font>
    <font>
      <sz val="10"/>
      <color theme="1"/>
      <name val="Cambria"/>
      <family val="1"/>
    </font>
    <font>
      <b/>
      <sz val="15"/>
      <color theme="1"/>
      <name val="Cambria"/>
      <family val="1"/>
    </font>
    <font>
      <sz val="9"/>
      <color theme="1"/>
      <name val="Cambria"/>
      <family val="1"/>
    </font>
    <font>
      <b/>
      <sz val="9"/>
      <color theme="0"/>
      <name val="Cambria"/>
      <family val="1"/>
    </font>
    <font>
      <b/>
      <sz val="10"/>
      <color theme="0"/>
      <name val="Cambria"/>
      <family val="1"/>
    </font>
    <font>
      <b/>
      <sz val="12"/>
      <color theme="1"/>
      <name val="Cambria"/>
      <family val="1"/>
    </font>
    <font>
      <b/>
      <sz val="14"/>
      <color theme="1"/>
      <name val="Cambria"/>
      <family val="1"/>
    </font>
    <font>
      <sz val="10"/>
      <color theme="1"/>
      <name val="Arial"/>
      <family val="2"/>
    </font>
    <font>
      <sz val="10"/>
      <color theme="0"/>
      <name val="Cambria"/>
      <family val="1"/>
    </font>
    <font>
      <b/>
      <sz val="7"/>
      <color theme="1"/>
      <name val="Cambria"/>
      <family val="1"/>
    </font>
    <font>
      <sz val="9"/>
      <color theme="0"/>
      <name val="Cambria"/>
      <family val="1"/>
    </font>
    <font>
      <b/>
      <sz val="16"/>
      <color theme="1"/>
      <name val="Cambria"/>
      <family val="1"/>
    </font>
    <font>
      <b/>
      <sz val="18"/>
      <color theme="1"/>
      <name val="Cambria"/>
      <family val="1"/>
    </font>
    <font>
      <i/>
      <sz val="11"/>
      <name val="Cambria"/>
      <family val="1"/>
    </font>
    <font>
      <sz val="14"/>
      <color theme="1"/>
      <name val="Cambria"/>
      <family val="1"/>
    </font>
    <font>
      <sz val="8"/>
      <color theme="1"/>
      <name val="Cambria"/>
      <family val="1"/>
    </font>
    <font>
      <sz val="8"/>
      <color theme="0"/>
      <name val="Cambria"/>
      <family val="1"/>
    </font>
    <font>
      <b/>
      <sz val="18"/>
      <color theme="0"/>
      <name val="Old English Text MT"/>
      <family val="4"/>
    </font>
    <font>
      <b/>
      <u/>
      <sz val="16"/>
      <color theme="1"/>
      <name val="Sitka Display"/>
    </font>
    <font>
      <sz val="10"/>
      <color rgb="FFF7F7F7"/>
      <name val="Cambria"/>
      <family val="1"/>
    </font>
    <font>
      <sz val="11"/>
      <color rgb="FFF7F7F7"/>
      <name val="Cambria"/>
      <family val="1"/>
    </font>
    <font>
      <sz val="9"/>
      <color rgb="FF000000"/>
      <name val="Cambria"/>
      <family val="1"/>
    </font>
    <font>
      <sz val="8"/>
      <name val="Calibri"/>
      <family val="2"/>
      <scheme val="minor"/>
    </font>
    <font>
      <b/>
      <sz val="8"/>
      <color theme="1"/>
      <name val="Cambria"/>
      <family val="1"/>
    </font>
    <font>
      <b/>
      <sz val="11"/>
      <color theme="0"/>
      <name val="Cambria"/>
      <family val="1"/>
    </font>
    <font>
      <b/>
      <sz val="8"/>
      <color rgb="FFFF0000"/>
      <name val="Cambria"/>
      <family val="1"/>
    </font>
    <font>
      <sz val="7"/>
      <color theme="2"/>
      <name val="Cambria"/>
      <family val="1"/>
    </font>
    <font>
      <b/>
      <sz val="10"/>
      <color rgb="FFFFFFFF"/>
      <name val="Cambria"/>
      <family val="1"/>
    </font>
    <font>
      <b/>
      <sz val="13"/>
      <color theme="1"/>
      <name val="Cambria"/>
      <family val="1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0DEC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1F8AE"/>
        <bgColor indexed="64"/>
      </patternFill>
    </fill>
    <fill>
      <patternFill patternType="solid">
        <fgColor rgb="FF0C573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5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DF3F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1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/>
      <top style="medium">
        <color rgb="FFCCCCCC"/>
      </top>
      <bottom style="thick">
        <color rgb="FF000000"/>
      </bottom>
      <diagonal/>
    </border>
    <border>
      <left/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/>
      <right/>
      <top style="medium">
        <color rgb="FFCCCCCC"/>
      </top>
      <bottom style="thick">
        <color rgb="FF000000"/>
      </bottom>
      <diagonal/>
    </border>
    <border>
      <left/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rgb="FF000000"/>
      </bottom>
      <diagonal/>
    </border>
    <border>
      <left style="medium">
        <color rgb="FFCCCCCC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CCCCCC"/>
      </left>
      <right style="thick">
        <color rgb="FF000000"/>
      </right>
      <top/>
      <bottom style="thin">
        <color rgb="FF000000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n">
        <color auto="1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double">
        <color indexed="64"/>
      </top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auto="1"/>
      </right>
      <top/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 style="thick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 style="thin">
        <color indexed="64"/>
      </bottom>
      <diagonal/>
    </border>
    <border>
      <left/>
      <right style="thick">
        <color indexed="64"/>
      </right>
      <top style="thick">
        <color auto="1"/>
      </top>
      <bottom style="thick">
        <color auto="1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8">
    <xf numFmtId="0" fontId="0" fillId="0" borderId="0" xfId="0"/>
    <xf numFmtId="0" fontId="6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 applyAlignment="1">
      <alignment vertical="center" wrapText="1"/>
    </xf>
    <xf numFmtId="0" fontId="5" fillId="0" borderId="51" xfId="0" applyFont="1" applyBorder="1" applyAlignment="1">
      <alignment horizontal="center" vertical="center" wrapText="1"/>
    </xf>
    <xf numFmtId="0" fontId="3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 wrapText="1"/>
    </xf>
    <xf numFmtId="166" fontId="3" fillId="0" borderId="55" xfId="0" applyNumberFormat="1" applyFont="1" applyBorder="1" applyAlignment="1">
      <alignment horizontal="center" vertical="center"/>
    </xf>
    <xf numFmtId="166" fontId="3" fillId="0" borderId="5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textRotation="90" wrapText="1"/>
    </xf>
    <xf numFmtId="9" fontId="9" fillId="0" borderId="0" xfId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textRotation="90" wrapText="1"/>
    </xf>
    <xf numFmtId="0" fontId="17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textRotation="90" wrapText="1"/>
    </xf>
    <xf numFmtId="0" fontId="9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5" fillId="14" borderId="0" xfId="0" applyFont="1" applyFill="1" applyAlignment="1">
      <alignment horizontal="center" vertical="center" wrapText="1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9" fillId="0" borderId="0" xfId="0" applyFont="1" applyAlignment="1">
      <alignment horizontal="center" vertical="center"/>
    </xf>
    <xf numFmtId="0" fontId="21" fillId="0" borderId="0" xfId="0" applyFont="1" applyAlignment="1" applyProtection="1">
      <alignment horizontal="center" vertical="center" wrapText="1"/>
      <protection locked="0"/>
    </xf>
    <xf numFmtId="0" fontId="21" fillId="0" borderId="0" xfId="0" applyFont="1" applyAlignment="1">
      <alignment horizontal="center" vertical="center" wrapText="1"/>
    </xf>
    <xf numFmtId="9" fontId="13" fillId="0" borderId="0" xfId="0" applyNumberFormat="1" applyFont="1" applyAlignment="1">
      <alignment vertical="center" wrapText="1"/>
    </xf>
    <xf numFmtId="0" fontId="18" fillId="0" borderId="0" xfId="0" applyFont="1"/>
    <xf numFmtId="0" fontId="18" fillId="0" borderId="0" xfId="0" applyFont="1" applyAlignment="1">
      <alignment horizontal="left"/>
    </xf>
    <xf numFmtId="0" fontId="26" fillId="0" borderId="0" xfId="0" applyFont="1"/>
    <xf numFmtId="164" fontId="26" fillId="0" borderId="0" xfId="0" applyNumberFormat="1" applyFont="1"/>
    <xf numFmtId="0" fontId="13" fillId="11" borderId="77" xfId="0" applyFont="1" applyFill="1" applyBorder="1" applyAlignment="1">
      <alignment horizontal="center" vertical="center" wrapText="1"/>
    </xf>
    <xf numFmtId="0" fontId="15" fillId="14" borderId="77" xfId="0" applyFont="1" applyFill="1" applyBorder="1" applyAlignment="1">
      <alignment horizontal="center" vertical="center" wrapText="1"/>
    </xf>
    <xf numFmtId="0" fontId="15" fillId="14" borderId="72" xfId="0" applyFont="1" applyFill="1" applyBorder="1" applyAlignment="1">
      <alignment horizontal="center" vertical="center" wrapText="1"/>
    </xf>
    <xf numFmtId="0" fontId="9" fillId="13" borderId="86" xfId="0" applyFont="1" applyFill="1" applyBorder="1" applyAlignment="1">
      <alignment horizontal="center" vertical="center" wrapText="1"/>
    </xf>
    <xf numFmtId="0" fontId="9" fillId="13" borderId="85" xfId="0" applyFont="1" applyFill="1" applyBorder="1" applyAlignment="1">
      <alignment horizontal="center" vertical="center" wrapText="1"/>
    </xf>
    <xf numFmtId="0" fontId="9" fillId="13" borderId="50" xfId="0" applyFont="1" applyFill="1" applyBorder="1" applyAlignment="1">
      <alignment horizontal="center" vertical="center" wrapText="1"/>
    </xf>
    <xf numFmtId="0" fontId="9" fillId="14" borderId="67" xfId="0" applyFont="1" applyFill="1" applyBorder="1" applyAlignment="1">
      <alignment horizontal="center" vertical="center" wrapText="1"/>
    </xf>
    <xf numFmtId="0" fontId="9" fillId="14" borderId="48" xfId="0" applyFont="1" applyFill="1" applyBorder="1" applyAlignment="1">
      <alignment horizontal="center" vertical="center" wrapText="1"/>
    </xf>
    <xf numFmtId="0" fontId="15" fillId="14" borderId="7" xfId="0" applyFont="1" applyFill="1" applyBorder="1" applyAlignment="1">
      <alignment horizontal="center" vertical="center" wrapText="1"/>
    </xf>
    <xf numFmtId="0" fontId="15" fillId="14" borderId="70" xfId="0" applyFont="1" applyFill="1" applyBorder="1" applyAlignment="1">
      <alignment horizontal="center" vertical="center" wrapText="1"/>
    </xf>
    <xf numFmtId="0" fontId="13" fillId="11" borderId="52" xfId="0" applyFont="1" applyFill="1" applyBorder="1" applyAlignment="1">
      <alignment horizontal="center" vertical="center" wrapText="1"/>
    </xf>
    <xf numFmtId="0" fontId="15" fillId="14" borderId="52" xfId="0" applyFont="1" applyFill="1" applyBorder="1" applyAlignment="1">
      <alignment horizontal="center" vertical="center" wrapText="1"/>
    </xf>
    <xf numFmtId="0" fontId="11" fillId="11" borderId="75" xfId="0" applyFont="1" applyFill="1" applyBorder="1" applyAlignment="1">
      <alignment horizontal="center" vertical="center" wrapText="1"/>
    </xf>
    <xf numFmtId="0" fontId="11" fillId="11" borderId="89" xfId="0" applyFont="1" applyFill="1" applyBorder="1" applyAlignment="1">
      <alignment horizontal="center" vertical="center" wrapText="1"/>
    </xf>
    <xf numFmtId="0" fontId="11" fillId="11" borderId="90" xfId="0" applyFont="1" applyFill="1" applyBorder="1" applyAlignment="1">
      <alignment horizontal="center" vertical="center" wrapText="1"/>
    </xf>
    <xf numFmtId="0" fontId="9" fillId="14" borderId="75" xfId="0" applyFont="1" applyFill="1" applyBorder="1" applyAlignment="1">
      <alignment horizontal="center" vertical="center" wrapText="1"/>
    </xf>
    <xf numFmtId="9" fontId="9" fillId="12" borderId="87" xfId="1" applyFont="1" applyFill="1" applyBorder="1" applyAlignment="1">
      <alignment horizontal="center" vertical="center" wrapText="1"/>
    </xf>
    <xf numFmtId="0" fontId="9" fillId="14" borderId="91" xfId="0" applyFont="1" applyFill="1" applyBorder="1" applyAlignment="1">
      <alignment horizontal="center" vertical="center" wrapText="1"/>
    </xf>
    <xf numFmtId="9" fontId="9" fillId="12" borderId="90" xfId="1" applyFont="1" applyFill="1" applyBorder="1" applyAlignment="1">
      <alignment horizontal="center" vertical="center" wrapText="1"/>
    </xf>
    <xf numFmtId="0" fontId="16" fillId="15" borderId="39" xfId="0" applyFont="1" applyFill="1" applyBorder="1" applyAlignment="1">
      <alignment horizontal="center" vertical="center" wrapText="1"/>
    </xf>
    <xf numFmtId="0" fontId="9" fillId="13" borderId="39" xfId="0" applyFont="1" applyFill="1" applyBorder="1" applyAlignment="1">
      <alignment horizontal="center" vertical="center" wrapText="1"/>
    </xf>
    <xf numFmtId="166" fontId="11" fillId="16" borderId="75" xfId="0" applyNumberFormat="1" applyFont="1" applyFill="1" applyBorder="1" applyAlignment="1">
      <alignment horizontal="center" vertical="center" wrapText="1"/>
    </xf>
    <xf numFmtId="10" fontId="22" fillId="14" borderId="94" xfId="1" applyNumberFormat="1" applyFont="1" applyFill="1" applyBorder="1" applyAlignment="1" applyProtection="1">
      <alignment horizontal="center" vertical="center" wrapText="1"/>
    </xf>
    <xf numFmtId="10" fontId="22" fillId="14" borderId="93" xfId="1" applyNumberFormat="1" applyFont="1" applyFill="1" applyBorder="1" applyAlignment="1" applyProtection="1">
      <alignment horizontal="center" vertical="center" wrapText="1"/>
    </xf>
    <xf numFmtId="0" fontId="13" fillId="11" borderId="3" xfId="0" applyFont="1" applyFill="1" applyBorder="1" applyAlignment="1">
      <alignment horizontal="center" vertical="center" wrapText="1"/>
    </xf>
    <xf numFmtId="0" fontId="13" fillId="11" borderId="95" xfId="0" applyFont="1" applyFill="1" applyBorder="1" applyAlignment="1">
      <alignment horizontal="center" vertical="center" wrapText="1"/>
    </xf>
    <xf numFmtId="0" fontId="13" fillId="11" borderId="76" xfId="0" applyFont="1" applyFill="1" applyBorder="1" applyAlignment="1">
      <alignment horizontal="center" vertical="center" wrapText="1"/>
    </xf>
    <xf numFmtId="0" fontId="13" fillId="11" borderId="96" xfId="0" applyFont="1" applyFill="1" applyBorder="1" applyAlignment="1">
      <alignment horizontal="center" vertical="center" wrapText="1"/>
    </xf>
    <xf numFmtId="0" fontId="13" fillId="11" borderId="79" xfId="0" applyFont="1" applyFill="1" applyBorder="1" applyAlignment="1">
      <alignment horizontal="center" vertical="center" wrapText="1"/>
    </xf>
    <xf numFmtId="0" fontId="13" fillId="11" borderId="80" xfId="0" applyFont="1" applyFill="1" applyBorder="1" applyAlignment="1">
      <alignment horizontal="center" vertical="center" wrapText="1"/>
    </xf>
    <xf numFmtId="0" fontId="8" fillId="0" borderId="96" xfId="0" applyFont="1" applyBorder="1" applyAlignment="1">
      <alignment horizontal="center" vertical="center" wrapText="1"/>
    </xf>
    <xf numFmtId="0" fontId="8" fillId="0" borderId="79" xfId="0" applyFont="1" applyBorder="1" applyAlignment="1">
      <alignment horizontal="center" vertical="center" wrapText="1"/>
    </xf>
    <xf numFmtId="0" fontId="13" fillId="11" borderId="97" xfId="0" applyFont="1" applyFill="1" applyBorder="1" applyAlignment="1">
      <alignment horizontal="center" vertical="center" wrapText="1"/>
    </xf>
    <xf numFmtId="9" fontId="9" fillId="12" borderId="99" xfId="1" applyFont="1" applyFill="1" applyBorder="1" applyAlignment="1">
      <alignment horizontal="center" vertical="center" wrapText="1"/>
    </xf>
    <xf numFmtId="9" fontId="9" fillId="12" borderId="56" xfId="1" applyFont="1" applyFill="1" applyBorder="1" applyAlignment="1">
      <alignment horizontal="center" vertical="center" wrapText="1"/>
    </xf>
    <xf numFmtId="9" fontId="9" fillId="12" borderId="2" xfId="1" applyFont="1" applyFill="1" applyBorder="1" applyAlignment="1">
      <alignment horizontal="center" vertical="center" wrapText="1"/>
    </xf>
    <xf numFmtId="9" fontId="9" fillId="12" borderId="79" xfId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8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8" fillId="0" borderId="56" xfId="0" applyFont="1" applyBorder="1" applyAlignment="1">
      <alignment vertical="center" wrapText="1"/>
    </xf>
    <xf numFmtId="0" fontId="20" fillId="0" borderId="78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166" fontId="11" fillId="21" borderId="75" xfId="0" applyNumberFormat="1" applyFont="1" applyFill="1" applyBorder="1" applyAlignment="1">
      <alignment horizontal="center" vertical="center" wrapText="1"/>
    </xf>
    <xf numFmtId="166" fontId="11" fillId="21" borderId="52" xfId="0" applyNumberFormat="1" applyFont="1" applyFill="1" applyBorder="1" applyAlignment="1">
      <alignment horizontal="center" vertical="center" wrapText="1"/>
    </xf>
    <xf numFmtId="166" fontId="28" fillId="21" borderId="49" xfId="0" applyNumberFormat="1" applyFont="1" applyFill="1" applyBorder="1" applyAlignment="1">
      <alignment horizontal="center" vertical="center" textRotation="90" wrapText="1"/>
    </xf>
    <xf numFmtId="9" fontId="9" fillId="12" borderId="88" xfId="1" applyFont="1" applyFill="1" applyBorder="1" applyAlignment="1">
      <alignment horizontal="center" vertical="center" wrapText="1"/>
    </xf>
    <xf numFmtId="9" fontId="9" fillId="12" borderId="84" xfId="1" applyFont="1" applyFill="1" applyBorder="1" applyAlignment="1">
      <alignment horizontal="center" vertical="center" wrapText="1"/>
    </xf>
    <xf numFmtId="0" fontId="16" fillId="15" borderId="49" xfId="0" applyFont="1" applyFill="1" applyBorder="1" applyAlignment="1">
      <alignment horizontal="center" vertical="center" wrapText="1"/>
    </xf>
    <xf numFmtId="166" fontId="11" fillId="16" borderId="67" xfId="0" applyNumberFormat="1" applyFont="1" applyFill="1" applyBorder="1" applyAlignment="1">
      <alignment horizontal="center" vertical="center" wrapText="1"/>
    </xf>
    <xf numFmtId="0" fontId="16" fillId="15" borderId="106" xfId="0" applyFont="1" applyFill="1" applyBorder="1" applyAlignment="1">
      <alignment horizontal="center" vertical="center" wrapText="1"/>
    </xf>
    <xf numFmtId="166" fontId="11" fillId="16" borderId="53" xfId="0" applyNumberFormat="1" applyFont="1" applyFill="1" applyBorder="1" applyAlignment="1">
      <alignment horizontal="center" vertical="center" wrapText="1"/>
    </xf>
    <xf numFmtId="0" fontId="16" fillId="15" borderId="107" xfId="0" applyFont="1" applyFill="1" applyBorder="1" applyAlignment="1">
      <alignment horizontal="center" vertical="center" wrapText="1"/>
    </xf>
    <xf numFmtId="166" fontId="11" fillId="16" borderId="71" xfId="0" applyNumberFormat="1" applyFont="1" applyFill="1" applyBorder="1" applyAlignment="1">
      <alignment horizontal="center" vertical="center" wrapText="1"/>
    </xf>
    <xf numFmtId="166" fontId="11" fillId="21" borderId="67" xfId="0" applyNumberFormat="1" applyFont="1" applyFill="1" applyBorder="1" applyAlignment="1">
      <alignment horizontal="center" vertical="center" wrapText="1"/>
    </xf>
    <xf numFmtId="166" fontId="11" fillId="21" borderId="53" xfId="0" applyNumberFormat="1" applyFont="1" applyFill="1" applyBorder="1" applyAlignment="1">
      <alignment horizontal="center" vertical="center" wrapText="1"/>
    </xf>
    <xf numFmtId="166" fontId="11" fillId="21" borderId="71" xfId="0" applyNumberFormat="1" applyFont="1" applyFill="1" applyBorder="1" applyAlignment="1">
      <alignment horizontal="center" vertical="center" wrapText="1"/>
    </xf>
    <xf numFmtId="166" fontId="11" fillId="20" borderId="39" xfId="0" applyNumberFormat="1" applyFont="1" applyFill="1" applyBorder="1" applyAlignment="1">
      <alignment horizontal="center" vertical="center" wrapText="1"/>
    </xf>
    <xf numFmtId="166" fontId="11" fillId="20" borderId="49" xfId="0" applyNumberFormat="1" applyFont="1" applyFill="1" applyBorder="1" applyAlignment="1">
      <alignment horizontal="center" vertical="center" wrapText="1"/>
    </xf>
    <xf numFmtId="166" fontId="11" fillId="20" borderId="107" xfId="0" applyNumberFormat="1" applyFont="1" applyFill="1" applyBorder="1" applyAlignment="1">
      <alignment horizontal="center" vertical="center" wrapText="1"/>
    </xf>
    <xf numFmtId="166" fontId="11" fillId="20" borderId="106" xfId="0" applyNumberFormat="1" applyFont="1" applyFill="1" applyBorder="1" applyAlignment="1">
      <alignment horizontal="center" vertical="center" wrapText="1"/>
    </xf>
    <xf numFmtId="166" fontId="28" fillId="21" borderId="50" xfId="0" applyNumberFormat="1" applyFont="1" applyFill="1" applyBorder="1" applyAlignment="1">
      <alignment horizontal="center" vertical="center" textRotation="90" wrapText="1"/>
    </xf>
    <xf numFmtId="166" fontId="28" fillId="21" borderId="106" xfId="0" applyNumberFormat="1" applyFont="1" applyFill="1" applyBorder="1" applyAlignment="1">
      <alignment horizontal="center" vertical="center" textRotation="90" wrapText="1"/>
    </xf>
    <xf numFmtId="0" fontId="38" fillId="0" borderId="0" xfId="0" applyFont="1" applyAlignment="1">
      <alignment vertical="center" wrapText="1"/>
    </xf>
    <xf numFmtId="0" fontId="13" fillId="11" borderId="39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13" fillId="0" borderId="38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165" fontId="36" fillId="0" borderId="19" xfId="0" applyNumberFormat="1" applyFont="1" applyBorder="1" applyAlignment="1">
      <alignment horizontal="center" vertical="center" wrapText="1"/>
    </xf>
    <xf numFmtId="165" fontId="36" fillId="0" borderId="44" xfId="0" applyNumberFormat="1" applyFont="1" applyBorder="1" applyAlignment="1">
      <alignment horizontal="center" vertical="center" wrapText="1"/>
    </xf>
    <xf numFmtId="165" fontId="36" fillId="0" borderId="47" xfId="0" applyNumberFormat="1" applyFont="1" applyBorder="1" applyAlignment="1">
      <alignment horizontal="center" vertical="center" wrapText="1"/>
    </xf>
    <xf numFmtId="0" fontId="13" fillId="11" borderId="57" xfId="0" applyFont="1" applyFill="1" applyBorder="1" applyAlignment="1">
      <alignment horizontal="center" vertical="center" wrapText="1"/>
    </xf>
    <xf numFmtId="0" fontId="13" fillId="11" borderId="63" xfId="0" applyFont="1" applyFill="1" applyBorder="1" applyAlignment="1">
      <alignment horizontal="center" vertical="center" wrapText="1"/>
    </xf>
    <xf numFmtId="0" fontId="13" fillId="0" borderId="57" xfId="0" applyFont="1" applyBorder="1" applyAlignment="1">
      <alignment horizontal="center" vertical="center" wrapText="1"/>
    </xf>
    <xf numFmtId="0" fontId="13" fillId="0" borderId="64" xfId="0" applyFont="1" applyBorder="1" applyAlignment="1">
      <alignment horizontal="center" vertical="center" wrapText="1"/>
    </xf>
    <xf numFmtId="0" fontId="13" fillId="0" borderId="65" xfId="0" applyFont="1" applyBorder="1" applyAlignment="1">
      <alignment horizontal="center" vertical="center" wrapText="1"/>
    </xf>
    <xf numFmtId="0" fontId="13" fillId="0" borderId="66" xfId="0" applyFont="1" applyBorder="1" applyAlignment="1">
      <alignment horizontal="center" vertical="center" wrapText="1"/>
    </xf>
    <xf numFmtId="0" fontId="13" fillId="0" borderId="63" xfId="0" applyFont="1" applyBorder="1" applyAlignment="1">
      <alignment horizontal="center" vertical="center" wrapText="1"/>
    </xf>
    <xf numFmtId="0" fontId="13" fillId="11" borderId="58" xfId="0" applyFont="1" applyFill="1" applyBorder="1" applyAlignment="1">
      <alignment horizontal="center" vertical="center" wrapText="1"/>
    </xf>
    <xf numFmtId="49" fontId="13" fillId="11" borderId="58" xfId="0" applyNumberFormat="1" applyFont="1" applyFill="1" applyBorder="1" applyAlignment="1">
      <alignment horizontal="center" vertical="center" wrapText="1"/>
    </xf>
    <xf numFmtId="0" fontId="13" fillId="0" borderId="58" xfId="0" applyFont="1" applyBorder="1" applyAlignment="1">
      <alignment horizontal="center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60" xfId="0" applyFont="1" applyBorder="1" applyAlignment="1">
      <alignment horizontal="center" vertical="center" wrapText="1"/>
    </xf>
    <xf numFmtId="0" fontId="13" fillId="0" borderId="61" xfId="0" applyFont="1" applyBorder="1" applyAlignment="1">
      <alignment horizontal="center" vertical="center" wrapText="1"/>
    </xf>
    <xf numFmtId="0" fontId="13" fillId="0" borderId="62" xfId="0" applyFont="1" applyBorder="1" applyAlignment="1">
      <alignment horizontal="center" vertical="center" wrapText="1"/>
    </xf>
    <xf numFmtId="0" fontId="13" fillId="11" borderId="34" xfId="0" applyFont="1" applyFill="1" applyBorder="1" applyAlignment="1">
      <alignment horizontal="center" vertical="center" wrapText="1"/>
    </xf>
    <xf numFmtId="49" fontId="13" fillId="11" borderId="34" xfId="0" applyNumberFormat="1" applyFont="1" applyFill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45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48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5" borderId="12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 wrapText="1"/>
    </xf>
    <xf numFmtId="0" fontId="11" fillId="7" borderId="12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8" borderId="12" xfId="0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40" fillId="10" borderId="13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166" fontId="11" fillId="24" borderId="75" xfId="0" applyNumberFormat="1" applyFont="1" applyFill="1" applyBorder="1" applyAlignment="1">
      <alignment horizontal="center" vertical="center" wrapText="1"/>
    </xf>
    <xf numFmtId="166" fontId="11" fillId="24" borderId="67" xfId="0" applyNumberFormat="1" applyFont="1" applyFill="1" applyBorder="1" applyAlignment="1">
      <alignment horizontal="center" vertical="center" wrapText="1"/>
    </xf>
    <xf numFmtId="166" fontId="11" fillId="24" borderId="53" xfId="0" applyNumberFormat="1" applyFont="1" applyFill="1" applyBorder="1" applyAlignment="1">
      <alignment horizontal="center" vertical="center" wrapText="1"/>
    </xf>
    <xf numFmtId="166" fontId="11" fillId="24" borderId="71" xfId="0" applyNumberFormat="1" applyFont="1" applyFill="1" applyBorder="1" applyAlignment="1">
      <alignment horizontal="center" vertical="center" wrapText="1"/>
    </xf>
    <xf numFmtId="166" fontId="11" fillId="25" borderId="75" xfId="0" applyNumberFormat="1" applyFont="1" applyFill="1" applyBorder="1" applyAlignment="1">
      <alignment horizontal="center" vertical="center" wrapText="1"/>
    </xf>
    <xf numFmtId="166" fontId="11" fillId="25" borderId="67" xfId="0" applyNumberFormat="1" applyFont="1" applyFill="1" applyBorder="1" applyAlignment="1">
      <alignment horizontal="center" vertical="center" wrapText="1"/>
    </xf>
    <xf numFmtId="166" fontId="11" fillId="25" borderId="53" xfId="0" applyNumberFormat="1" applyFont="1" applyFill="1" applyBorder="1" applyAlignment="1">
      <alignment horizontal="center" vertical="center" wrapText="1"/>
    </xf>
    <xf numFmtId="166" fontId="11" fillId="25" borderId="107" xfId="0" applyNumberFormat="1" applyFont="1" applyFill="1" applyBorder="1" applyAlignment="1">
      <alignment horizontal="center" vertical="center" wrapText="1"/>
    </xf>
    <xf numFmtId="2" fontId="11" fillId="23" borderId="39" xfId="0" applyNumberFormat="1" applyFont="1" applyFill="1" applyBorder="1" applyAlignment="1">
      <alignment horizontal="center" vertical="center" wrapText="1"/>
    </xf>
    <xf numFmtId="2" fontId="11" fillId="23" borderId="49" xfId="0" applyNumberFormat="1" applyFont="1" applyFill="1" applyBorder="1" applyAlignment="1">
      <alignment horizontal="center" vertical="center" wrapText="1"/>
    </xf>
    <xf numFmtId="2" fontId="11" fillId="23" borderId="106" xfId="0" applyNumberFormat="1" applyFont="1" applyFill="1" applyBorder="1" applyAlignment="1">
      <alignment horizontal="center" vertical="center" wrapText="1"/>
    </xf>
    <xf numFmtId="2" fontId="11" fillId="23" borderId="107" xfId="0" applyNumberFormat="1" applyFont="1" applyFill="1" applyBorder="1" applyAlignment="1">
      <alignment horizontal="center" vertical="center" wrapText="1"/>
    </xf>
    <xf numFmtId="166" fontId="28" fillId="19" borderId="39" xfId="0" applyNumberFormat="1" applyFont="1" applyFill="1" applyBorder="1" applyAlignment="1">
      <alignment vertical="center" wrapText="1"/>
    </xf>
    <xf numFmtId="166" fontId="28" fillId="19" borderId="117" xfId="0" applyNumberFormat="1" applyFont="1" applyFill="1" applyBorder="1" applyAlignment="1">
      <alignment vertical="center" wrapText="1"/>
    </xf>
    <xf numFmtId="166" fontId="28" fillId="19" borderId="107" xfId="0" applyNumberFormat="1" applyFont="1" applyFill="1" applyBorder="1" applyAlignment="1">
      <alignment vertical="center" wrapText="1"/>
    </xf>
    <xf numFmtId="166" fontId="28" fillId="19" borderId="85" xfId="0" applyNumberFormat="1" applyFont="1" applyFill="1" applyBorder="1" applyAlignment="1">
      <alignment vertical="center" wrapText="1"/>
    </xf>
    <xf numFmtId="0" fontId="38" fillId="0" borderId="0" xfId="0" applyFont="1" applyAlignment="1">
      <alignment horizontal="center" vertical="center" wrapText="1"/>
    </xf>
    <xf numFmtId="0" fontId="13" fillId="3" borderId="39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horizontal="left" vertical="center" wrapText="1" indent="1"/>
    </xf>
    <xf numFmtId="0" fontId="11" fillId="0" borderId="17" xfId="0" applyFont="1" applyBorder="1" applyAlignment="1">
      <alignment horizontal="left" vertical="center" wrapText="1" indent="1"/>
    </xf>
    <xf numFmtId="0" fontId="11" fillId="0" borderId="21" xfId="0" applyFont="1" applyBorder="1" applyAlignment="1">
      <alignment horizontal="left" vertical="center" wrapText="1" indent="1"/>
    </xf>
    <xf numFmtId="0" fontId="41" fillId="0" borderId="22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3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left" vertical="center" wrapText="1" indent="1"/>
    </xf>
    <xf numFmtId="0" fontId="11" fillId="0" borderId="42" xfId="0" applyFont="1" applyBorder="1" applyAlignment="1">
      <alignment horizontal="left" vertical="center" wrapText="1" indent="1"/>
    </xf>
    <xf numFmtId="0" fontId="11" fillId="0" borderId="43" xfId="0" applyFont="1" applyBorder="1" applyAlignment="1">
      <alignment horizontal="left" vertical="center" wrapText="1" indent="1"/>
    </xf>
    <xf numFmtId="0" fontId="8" fillId="11" borderId="24" xfId="0" applyFont="1" applyFill="1" applyBorder="1" applyAlignment="1">
      <alignment horizontal="center" vertical="center" wrapText="1"/>
    </xf>
    <xf numFmtId="0" fontId="8" fillId="11" borderId="25" xfId="0" applyFont="1" applyFill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left" vertical="center" wrapText="1" indent="1"/>
    </xf>
    <xf numFmtId="0" fontId="11" fillId="0" borderId="20" xfId="0" applyFont="1" applyBorder="1" applyAlignment="1">
      <alignment horizontal="left" vertical="center" wrapText="1" indent="1"/>
    </xf>
    <xf numFmtId="0" fontId="11" fillId="0" borderId="15" xfId="0" applyFont="1" applyBorder="1" applyAlignment="1">
      <alignment horizontal="left" vertical="center" wrapText="1" indent="1"/>
    </xf>
    <xf numFmtId="0" fontId="10" fillId="11" borderId="69" xfId="0" applyFont="1" applyFill="1" applyBorder="1" applyAlignment="1">
      <alignment horizontal="center" vertical="center"/>
    </xf>
    <xf numFmtId="0" fontId="10" fillId="11" borderId="76" xfId="0" applyFont="1" applyFill="1" applyBorder="1" applyAlignment="1">
      <alignment horizontal="center" vertical="center"/>
    </xf>
    <xf numFmtId="0" fontId="10" fillId="11" borderId="80" xfId="0" applyFont="1" applyFill="1" applyBorder="1" applyAlignment="1">
      <alignment horizontal="center" vertical="center"/>
    </xf>
    <xf numFmtId="0" fontId="33" fillId="2" borderId="68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6" fillId="2" borderId="67" xfId="0" applyFont="1" applyFill="1" applyBorder="1" applyAlignment="1">
      <alignment horizontal="left"/>
    </xf>
    <xf numFmtId="0" fontId="36" fillId="2" borderId="83" xfId="0" applyFont="1" applyFill="1" applyBorder="1" applyAlignment="1">
      <alignment horizontal="left"/>
    </xf>
    <xf numFmtId="0" fontId="36" fillId="2" borderId="84" xfId="0" applyFont="1" applyFill="1" applyBorder="1" applyAlignment="1">
      <alignment horizontal="left"/>
    </xf>
    <xf numFmtId="0" fontId="36" fillId="2" borderId="77" xfId="0" applyFont="1" applyFill="1" applyBorder="1" applyAlignment="1">
      <alignment horizontal="left"/>
    </xf>
    <xf numFmtId="0" fontId="36" fillId="2" borderId="9" xfId="0" applyFont="1" applyFill="1" applyBorder="1" applyAlignment="1">
      <alignment horizontal="left"/>
    </xf>
    <xf numFmtId="0" fontId="36" fillId="2" borderId="78" xfId="0" applyFont="1" applyFill="1" applyBorder="1" applyAlignment="1">
      <alignment horizontal="left"/>
    </xf>
    <xf numFmtId="0" fontId="36" fillId="2" borderId="72" xfId="0" applyFont="1" applyFill="1" applyBorder="1" applyAlignment="1">
      <alignment horizontal="left"/>
    </xf>
    <xf numFmtId="0" fontId="36" fillId="2" borderId="76" xfId="0" applyFont="1" applyFill="1" applyBorder="1" applyAlignment="1">
      <alignment horizontal="left"/>
    </xf>
    <xf numFmtId="0" fontId="36" fillId="2" borderId="80" xfId="0" applyFont="1" applyFill="1" applyBorder="1" applyAlignment="1">
      <alignment horizontal="left"/>
    </xf>
    <xf numFmtId="0" fontId="30" fillId="18" borderId="48" xfId="0" applyFont="1" applyFill="1" applyBorder="1" applyAlignment="1">
      <alignment horizontal="center" vertical="center"/>
    </xf>
    <xf numFmtId="0" fontId="30" fillId="18" borderId="83" xfId="0" applyFont="1" applyFill="1" applyBorder="1" applyAlignment="1">
      <alignment horizontal="center" vertical="center"/>
    </xf>
    <xf numFmtId="0" fontId="30" fillId="18" borderId="84" xfId="0" applyFont="1" applyFill="1" applyBorder="1" applyAlignment="1">
      <alignment horizontal="center" vertical="center"/>
    </xf>
    <xf numFmtId="0" fontId="31" fillId="17" borderId="72" xfId="0" applyFont="1" applyFill="1" applyBorder="1" applyAlignment="1">
      <alignment horizontal="center" vertical="center"/>
    </xf>
    <xf numFmtId="0" fontId="31" fillId="17" borderId="76" xfId="0" applyFont="1" applyFill="1" applyBorder="1" applyAlignment="1">
      <alignment horizontal="center" vertical="center"/>
    </xf>
    <xf numFmtId="0" fontId="31" fillId="17" borderId="80" xfId="0" applyFont="1" applyFill="1" applyBorder="1" applyAlignment="1">
      <alignment horizontal="center" vertical="center"/>
    </xf>
    <xf numFmtId="18" fontId="10" fillId="11" borderId="92" xfId="0" applyNumberFormat="1" applyFont="1" applyFill="1" applyBorder="1" applyAlignment="1">
      <alignment horizontal="center" vertical="center"/>
    </xf>
    <xf numFmtId="18" fontId="10" fillId="11" borderId="83" xfId="0" applyNumberFormat="1" applyFont="1" applyFill="1" applyBorder="1" applyAlignment="1">
      <alignment horizontal="center" vertical="center"/>
    </xf>
    <xf numFmtId="18" fontId="10" fillId="11" borderId="84" xfId="0" applyNumberFormat="1" applyFont="1" applyFill="1" applyBorder="1" applyAlignment="1">
      <alignment horizontal="center" vertical="center"/>
    </xf>
    <xf numFmtId="0" fontId="10" fillId="11" borderId="5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78" xfId="0" applyFont="1" applyFill="1" applyBorder="1" applyAlignment="1">
      <alignment horizontal="center" vertical="center"/>
    </xf>
    <xf numFmtId="0" fontId="11" fillId="11" borderId="0" xfId="0" applyFont="1" applyFill="1" applyAlignment="1">
      <alignment horizontal="right" vertical="center" indent="1"/>
    </xf>
    <xf numFmtId="0" fontId="11" fillId="11" borderId="10" xfId="0" applyFont="1" applyFill="1" applyBorder="1" applyAlignment="1">
      <alignment horizontal="right" vertical="center" indent="1"/>
    </xf>
    <xf numFmtId="0" fontId="11" fillId="11" borderId="7" xfId="0" applyFont="1" applyFill="1" applyBorder="1" applyAlignment="1">
      <alignment horizontal="right" vertical="center" indent="1"/>
    </xf>
    <xf numFmtId="0" fontId="11" fillId="11" borderId="9" xfId="0" applyFont="1" applyFill="1" applyBorder="1" applyAlignment="1">
      <alignment horizontal="right" vertical="center" indent="1"/>
    </xf>
    <xf numFmtId="0" fontId="11" fillId="11" borderId="70" xfId="0" applyFont="1" applyFill="1" applyBorder="1" applyAlignment="1">
      <alignment horizontal="right" vertical="center" indent="1"/>
    </xf>
    <xf numFmtId="0" fontId="11" fillId="11" borderId="76" xfId="0" applyFont="1" applyFill="1" applyBorder="1" applyAlignment="1">
      <alignment horizontal="right" vertical="center" indent="1"/>
    </xf>
    <xf numFmtId="0" fontId="10" fillId="11" borderId="92" xfId="0" applyFont="1" applyFill="1" applyBorder="1" applyAlignment="1">
      <alignment horizontal="center" vertical="center"/>
    </xf>
    <xf numFmtId="0" fontId="10" fillId="11" borderId="83" xfId="0" applyFont="1" applyFill="1" applyBorder="1" applyAlignment="1">
      <alignment horizontal="center" vertical="center"/>
    </xf>
    <xf numFmtId="0" fontId="10" fillId="11" borderId="84" xfId="0" applyFont="1" applyFill="1" applyBorder="1" applyAlignment="1">
      <alignment horizontal="center" vertical="center"/>
    </xf>
    <xf numFmtId="166" fontId="28" fillId="19" borderId="67" xfId="0" applyNumberFormat="1" applyFont="1" applyFill="1" applyBorder="1" applyAlignment="1">
      <alignment horizontal="center" vertical="center" textRotation="90" wrapText="1"/>
    </xf>
    <xf numFmtId="166" fontId="28" fillId="19" borderId="83" xfId="0" applyNumberFormat="1" applyFont="1" applyFill="1" applyBorder="1" applyAlignment="1">
      <alignment horizontal="center" vertical="center" textRotation="90" wrapText="1"/>
    </xf>
    <xf numFmtId="166" fontId="28" fillId="19" borderId="84" xfId="0" applyNumberFormat="1" applyFont="1" applyFill="1" applyBorder="1" applyAlignment="1">
      <alignment horizontal="center" vertical="center" textRotation="90" wrapText="1"/>
    </xf>
    <xf numFmtId="166" fontId="28" fillId="19" borderId="77" xfId="0" applyNumberFormat="1" applyFont="1" applyFill="1" applyBorder="1" applyAlignment="1">
      <alignment horizontal="center" vertical="center" textRotation="90" wrapText="1"/>
    </xf>
    <xf numFmtId="166" fontId="28" fillId="19" borderId="9" xfId="0" applyNumberFormat="1" applyFont="1" applyFill="1" applyBorder="1" applyAlignment="1">
      <alignment horizontal="center" vertical="center" textRotation="90" wrapText="1"/>
    </xf>
    <xf numFmtId="166" fontId="28" fillId="19" borderId="78" xfId="0" applyNumberFormat="1" applyFont="1" applyFill="1" applyBorder="1" applyAlignment="1">
      <alignment horizontal="center" vertical="center" textRotation="90" wrapText="1"/>
    </xf>
    <xf numFmtId="166" fontId="28" fillId="19" borderId="72" xfId="0" applyNumberFormat="1" applyFont="1" applyFill="1" applyBorder="1" applyAlignment="1">
      <alignment horizontal="center" vertical="center" textRotation="90" wrapText="1"/>
    </xf>
    <xf numFmtId="166" fontId="28" fillId="19" borderId="76" xfId="0" applyNumberFormat="1" applyFont="1" applyFill="1" applyBorder="1" applyAlignment="1">
      <alignment horizontal="center" vertical="center" textRotation="90" wrapText="1"/>
    </xf>
    <xf numFmtId="166" fontId="28" fillId="19" borderId="80" xfId="0" applyNumberFormat="1" applyFont="1" applyFill="1" applyBorder="1" applyAlignment="1">
      <alignment horizontal="center" vertical="center" textRotation="90" wrapText="1"/>
    </xf>
    <xf numFmtId="166" fontId="28" fillId="19" borderId="77" xfId="0" applyNumberFormat="1" applyFont="1" applyFill="1" applyBorder="1" applyAlignment="1">
      <alignment horizontal="center" vertical="center" wrapText="1"/>
    </xf>
    <xf numFmtId="166" fontId="28" fillId="19" borderId="9" xfId="0" applyNumberFormat="1" applyFont="1" applyFill="1" applyBorder="1" applyAlignment="1">
      <alignment horizontal="center" vertical="center" wrapText="1"/>
    </xf>
    <xf numFmtId="166" fontId="28" fillId="19" borderId="78" xfId="0" applyNumberFormat="1" applyFont="1" applyFill="1" applyBorder="1" applyAlignment="1">
      <alignment horizontal="center" vertical="center" wrapText="1"/>
    </xf>
    <xf numFmtId="166" fontId="28" fillId="19" borderId="72" xfId="0" applyNumberFormat="1" applyFont="1" applyFill="1" applyBorder="1" applyAlignment="1">
      <alignment horizontal="center" vertical="center" wrapText="1"/>
    </xf>
    <xf numFmtId="166" fontId="28" fillId="19" borderId="76" xfId="0" applyNumberFormat="1" applyFont="1" applyFill="1" applyBorder="1" applyAlignment="1">
      <alignment horizontal="center" vertical="center" wrapText="1"/>
    </xf>
    <xf numFmtId="166" fontId="28" fillId="19" borderId="80" xfId="0" applyNumberFormat="1" applyFont="1" applyFill="1" applyBorder="1" applyAlignment="1">
      <alignment horizontal="center" vertical="center" wrapText="1"/>
    </xf>
    <xf numFmtId="166" fontId="28" fillId="19" borderId="71" xfId="0" applyNumberFormat="1" applyFont="1" applyFill="1" applyBorder="1" applyAlignment="1">
      <alignment horizontal="center" vertical="center" wrapText="1"/>
    </xf>
    <xf numFmtId="166" fontId="28" fillId="19" borderId="3" xfId="0" applyNumberFormat="1" applyFont="1" applyFill="1" applyBorder="1" applyAlignment="1">
      <alignment horizontal="center" vertical="center" wrapText="1"/>
    </xf>
    <xf numFmtId="166" fontId="28" fillId="19" borderId="79" xfId="0" applyNumberFormat="1" applyFont="1" applyFill="1" applyBorder="1" applyAlignment="1">
      <alignment horizontal="center" vertical="center" wrapText="1"/>
    </xf>
    <xf numFmtId="0" fontId="11" fillId="19" borderId="67" xfId="0" applyFont="1" applyFill="1" applyBorder="1" applyAlignment="1">
      <alignment horizontal="center" vertical="center" wrapText="1"/>
    </xf>
    <xf numFmtId="0" fontId="11" fillId="19" borderId="83" xfId="0" applyFont="1" applyFill="1" applyBorder="1" applyAlignment="1">
      <alignment horizontal="center" vertical="center" wrapText="1"/>
    </xf>
    <xf numFmtId="0" fontId="11" fillId="19" borderId="84" xfId="0" applyFont="1" applyFill="1" applyBorder="1" applyAlignment="1">
      <alignment horizontal="center" vertical="center" wrapText="1"/>
    </xf>
    <xf numFmtId="0" fontId="11" fillId="19" borderId="77" xfId="0" applyFont="1" applyFill="1" applyBorder="1" applyAlignment="1">
      <alignment horizontal="center" vertical="center" wrapText="1"/>
    </xf>
    <xf numFmtId="0" fontId="11" fillId="19" borderId="9" xfId="0" applyFont="1" applyFill="1" applyBorder="1" applyAlignment="1">
      <alignment horizontal="center" vertical="center" wrapText="1"/>
    </xf>
    <xf numFmtId="0" fontId="11" fillId="19" borderId="78" xfId="0" applyFont="1" applyFill="1" applyBorder="1" applyAlignment="1">
      <alignment horizontal="center" vertical="center" wrapText="1"/>
    </xf>
    <xf numFmtId="166" fontId="28" fillId="19" borderId="75" xfId="0" applyNumberFormat="1" applyFont="1" applyFill="1" applyBorder="1" applyAlignment="1">
      <alignment horizontal="center" vertical="center" wrapText="1"/>
    </xf>
    <xf numFmtId="166" fontId="28" fillId="19" borderId="89" xfId="0" applyNumberFormat="1" applyFont="1" applyFill="1" applyBorder="1" applyAlignment="1">
      <alignment horizontal="center" vertical="center" wrapText="1"/>
    </xf>
    <xf numFmtId="166" fontId="28" fillId="19" borderId="90" xfId="0" applyNumberFormat="1" applyFont="1" applyFill="1" applyBorder="1" applyAlignment="1">
      <alignment horizontal="center" vertical="center" wrapText="1"/>
    </xf>
    <xf numFmtId="166" fontId="28" fillId="19" borderId="52" xfId="0" applyNumberFormat="1" applyFont="1" applyFill="1" applyBorder="1" applyAlignment="1">
      <alignment horizontal="center" vertical="center" wrapText="1"/>
    </xf>
    <xf numFmtId="166" fontId="28" fillId="19" borderId="10" xfId="0" applyNumberFormat="1" applyFont="1" applyFill="1" applyBorder="1" applyAlignment="1">
      <alignment horizontal="center" vertical="center" wrapText="1"/>
    </xf>
    <xf numFmtId="166" fontId="28" fillId="19" borderId="55" xfId="0" applyNumberFormat="1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7" fillId="0" borderId="0" xfId="0" applyFont="1" applyAlignment="1" applyProtection="1">
      <alignment horizontal="center"/>
      <protection locked="0"/>
    </xf>
    <xf numFmtId="0" fontId="18" fillId="0" borderId="0" xfId="0" applyFont="1" applyAlignment="1">
      <alignment horizontal="left"/>
    </xf>
    <xf numFmtId="0" fontId="25" fillId="0" borderId="67" xfId="0" applyFont="1" applyBorder="1" applyAlignment="1">
      <alignment horizontal="right" vertical="center" wrapText="1" indent="1"/>
    </xf>
    <xf numFmtId="0" fontId="25" fillId="0" borderId="83" xfId="0" applyFont="1" applyBorder="1" applyAlignment="1">
      <alignment horizontal="right" vertical="center" wrapText="1" indent="1"/>
    </xf>
    <xf numFmtId="0" fontId="25" fillId="0" borderId="84" xfId="0" applyFont="1" applyBorder="1" applyAlignment="1">
      <alignment horizontal="right" vertical="center" wrapText="1" indent="1"/>
    </xf>
    <xf numFmtId="0" fontId="25" fillId="0" borderId="77" xfId="0" applyFont="1" applyBorder="1" applyAlignment="1">
      <alignment horizontal="right" vertical="center" wrapText="1" indent="1"/>
    </xf>
    <xf numFmtId="0" fontId="25" fillId="0" borderId="9" xfId="0" applyFont="1" applyBorder="1" applyAlignment="1">
      <alignment horizontal="right" vertical="center" wrapText="1" indent="1"/>
    </xf>
    <xf numFmtId="0" fontId="25" fillId="0" borderId="78" xfId="0" applyFont="1" applyBorder="1" applyAlignment="1">
      <alignment horizontal="right" vertical="center" wrapText="1" indent="1"/>
    </xf>
    <xf numFmtId="0" fontId="25" fillId="0" borderId="72" xfId="0" applyFont="1" applyBorder="1" applyAlignment="1">
      <alignment horizontal="right" vertical="center" wrapText="1" indent="1"/>
    </xf>
    <xf numFmtId="0" fontId="25" fillId="0" borderId="76" xfId="0" applyFont="1" applyBorder="1" applyAlignment="1">
      <alignment horizontal="right" vertical="center" wrapText="1" indent="1"/>
    </xf>
    <xf numFmtId="0" fontId="25" fillId="0" borderId="80" xfId="0" applyFont="1" applyBorder="1" applyAlignment="1">
      <alignment horizontal="right" vertical="center" wrapText="1" indent="1"/>
    </xf>
    <xf numFmtId="9" fontId="28" fillId="12" borderId="88" xfId="1" applyFont="1" applyFill="1" applyBorder="1" applyAlignment="1">
      <alignment horizontal="center" vertical="center" textRotation="90" wrapText="1"/>
    </xf>
    <xf numFmtId="9" fontId="28" fillId="12" borderId="82" xfId="1" applyFont="1" applyFill="1" applyBorder="1" applyAlignment="1">
      <alignment horizontal="center" vertical="center" textRotation="90" wrapText="1"/>
    </xf>
    <xf numFmtId="9" fontId="28" fillId="12" borderId="81" xfId="1" applyFont="1" applyFill="1" applyBorder="1" applyAlignment="1">
      <alignment horizontal="center" vertical="center" textRotation="90" wrapText="1"/>
    </xf>
    <xf numFmtId="0" fontId="28" fillId="14" borderId="48" xfId="0" applyFont="1" applyFill="1" applyBorder="1" applyAlignment="1">
      <alignment horizontal="center" vertical="center" textRotation="90" wrapText="1"/>
    </xf>
    <xf numFmtId="0" fontId="28" fillId="14" borderId="7" xfId="0" applyFont="1" applyFill="1" applyBorder="1" applyAlignment="1">
      <alignment horizontal="center" vertical="center" textRotation="90" wrapText="1"/>
    </xf>
    <xf numFmtId="0" fontId="28" fillId="14" borderId="70" xfId="0" applyFont="1" applyFill="1" applyBorder="1" applyAlignment="1">
      <alignment horizontal="center" vertical="center" textRotation="90" wrapText="1"/>
    </xf>
    <xf numFmtId="0" fontId="29" fillId="15" borderId="49" xfId="0" applyFont="1" applyFill="1" applyBorder="1" applyAlignment="1">
      <alignment horizontal="center" vertical="center" textRotation="90" wrapText="1"/>
    </xf>
    <xf numFmtId="0" fontId="29" fillId="15" borderId="86" xfId="0" applyFont="1" applyFill="1" applyBorder="1" applyAlignment="1">
      <alignment horizontal="center" vertical="center" textRotation="90" wrapText="1"/>
    </xf>
    <xf numFmtId="0" fontId="29" fillId="15" borderId="85" xfId="0" applyFont="1" applyFill="1" applyBorder="1" applyAlignment="1">
      <alignment horizontal="center" vertical="center" textRotation="90" wrapText="1"/>
    </xf>
    <xf numFmtId="0" fontId="28" fillId="13" borderId="49" xfId="0" applyFont="1" applyFill="1" applyBorder="1" applyAlignment="1">
      <alignment horizontal="center" vertical="center" textRotation="90" wrapText="1"/>
    </xf>
    <xf numFmtId="0" fontId="28" fillId="13" borderId="86" xfId="0" applyFont="1" applyFill="1" applyBorder="1" applyAlignment="1">
      <alignment horizontal="center" vertical="center" textRotation="90" wrapText="1"/>
    </xf>
    <xf numFmtId="0" fontId="28" fillId="13" borderId="85" xfId="0" applyFont="1" applyFill="1" applyBorder="1" applyAlignment="1">
      <alignment horizontal="center" vertical="center" textRotation="90" wrapText="1"/>
    </xf>
    <xf numFmtId="166" fontId="28" fillId="16" borderId="49" xfId="0" applyNumberFormat="1" applyFont="1" applyFill="1" applyBorder="1" applyAlignment="1">
      <alignment horizontal="center" vertical="center" textRotation="90" wrapText="1"/>
    </xf>
    <xf numFmtId="166" fontId="28" fillId="16" borderId="86" xfId="0" applyNumberFormat="1" applyFont="1" applyFill="1" applyBorder="1" applyAlignment="1">
      <alignment horizontal="center" vertical="center" textRotation="90" wrapText="1"/>
    </xf>
    <xf numFmtId="166" fontId="28" fillId="16" borderId="85" xfId="0" applyNumberFormat="1" applyFont="1" applyFill="1" applyBorder="1" applyAlignment="1">
      <alignment horizontal="center" vertical="center" textRotation="90" wrapText="1"/>
    </xf>
    <xf numFmtId="9" fontId="28" fillId="12" borderId="84" xfId="1" applyFont="1" applyFill="1" applyBorder="1" applyAlignment="1">
      <alignment horizontal="center" vertical="center" textRotation="90" wrapText="1"/>
    </xf>
    <xf numFmtId="9" fontId="28" fillId="12" borderId="78" xfId="1" applyFont="1" applyFill="1" applyBorder="1" applyAlignment="1">
      <alignment horizontal="center" vertical="center" textRotation="90" wrapText="1"/>
    </xf>
    <xf numFmtId="9" fontId="28" fillId="12" borderId="80" xfId="1" applyFont="1" applyFill="1" applyBorder="1" applyAlignment="1">
      <alignment horizontal="center" vertical="center" textRotation="90" wrapText="1"/>
    </xf>
    <xf numFmtId="0" fontId="8" fillId="11" borderId="103" xfId="0" applyFont="1" applyFill="1" applyBorder="1" applyAlignment="1">
      <alignment horizontal="center" vertical="center" wrapText="1"/>
    </xf>
    <xf numFmtId="0" fontId="8" fillId="11" borderId="98" xfId="0" applyFont="1" applyFill="1" applyBorder="1" applyAlignment="1">
      <alignment horizontal="center" vertical="center" wrapText="1"/>
    </xf>
    <xf numFmtId="0" fontId="9" fillId="0" borderId="71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9" fillId="0" borderId="53" xfId="0" applyFont="1" applyBorder="1" applyAlignment="1">
      <alignment horizontal="right" vertical="center" wrapText="1"/>
    </xf>
    <xf numFmtId="0" fontId="9" fillId="0" borderId="68" xfId="0" applyFont="1" applyBorder="1" applyAlignment="1">
      <alignment horizontal="right" vertical="center" wrapText="1"/>
    </xf>
    <xf numFmtId="0" fontId="18" fillId="16" borderId="49" xfId="0" applyFont="1" applyFill="1" applyBorder="1" applyAlignment="1">
      <alignment horizontal="center" vertical="center" textRotation="90" wrapText="1"/>
    </xf>
    <xf numFmtId="0" fontId="18" fillId="16" borderId="86" xfId="0" applyFont="1" applyFill="1" applyBorder="1" applyAlignment="1">
      <alignment horizontal="center" vertical="center" textRotation="90" wrapText="1"/>
    </xf>
    <xf numFmtId="0" fontId="9" fillId="14" borderId="7" xfId="0" applyFont="1" applyFill="1" applyBorder="1" applyAlignment="1">
      <alignment horizontal="center" vertical="center" textRotation="90" wrapText="1"/>
    </xf>
    <xf numFmtId="0" fontId="18" fillId="12" borderId="84" xfId="0" applyFont="1" applyFill="1" applyBorder="1" applyAlignment="1">
      <alignment horizontal="center" vertical="center" textRotation="90" wrapText="1"/>
    </xf>
    <xf numFmtId="0" fontId="18" fillId="12" borderId="78" xfId="0" applyFont="1" applyFill="1" applyBorder="1" applyAlignment="1">
      <alignment horizontal="center" vertical="center" textRotation="90" wrapText="1"/>
    </xf>
    <xf numFmtId="0" fontId="18" fillId="12" borderId="88" xfId="0" applyFont="1" applyFill="1" applyBorder="1" applyAlignment="1">
      <alignment horizontal="center" vertical="center" textRotation="90" wrapText="1"/>
    </xf>
    <xf numFmtId="0" fontId="18" fillId="12" borderId="82" xfId="0" applyFont="1" applyFill="1" applyBorder="1" applyAlignment="1">
      <alignment horizontal="center" vertical="center" textRotation="90" wrapText="1"/>
    </xf>
    <xf numFmtId="0" fontId="9" fillId="14" borderId="77" xfId="0" applyFont="1" applyFill="1" applyBorder="1" applyAlignment="1">
      <alignment horizontal="center" vertical="center" textRotation="90" wrapText="1"/>
    </xf>
    <xf numFmtId="0" fontId="18" fillId="13" borderId="49" xfId="0" applyFont="1" applyFill="1" applyBorder="1" applyAlignment="1">
      <alignment horizontal="center" vertical="center" textRotation="90" wrapText="1"/>
    </xf>
    <xf numFmtId="0" fontId="18" fillId="13" borderId="86" xfId="0" applyFont="1" applyFill="1" applyBorder="1" applyAlignment="1">
      <alignment horizontal="center" vertical="center" textRotation="90" wrapText="1"/>
    </xf>
    <xf numFmtId="0" fontId="24" fillId="2" borderId="67" xfId="0" applyFont="1" applyFill="1" applyBorder="1" applyAlignment="1">
      <alignment horizontal="center" vertical="center" wrapText="1"/>
    </xf>
    <xf numFmtId="0" fontId="24" fillId="2" borderId="48" xfId="0" applyFont="1" applyFill="1" applyBorder="1" applyAlignment="1">
      <alignment horizontal="center" vertical="center" wrapText="1"/>
    </xf>
    <xf numFmtId="0" fontId="24" fillId="2" borderId="108" xfId="0" applyFont="1" applyFill="1" applyBorder="1" applyAlignment="1">
      <alignment horizontal="center" vertical="center" wrapText="1"/>
    </xf>
    <xf numFmtId="0" fontId="24" fillId="2" borderId="52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4" fillId="2" borderId="109" xfId="0" applyFont="1" applyFill="1" applyBorder="1" applyAlignment="1">
      <alignment horizontal="center" vertical="center" wrapText="1"/>
    </xf>
    <xf numFmtId="0" fontId="24" fillId="2" borderId="110" xfId="0" applyFont="1" applyFill="1" applyBorder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4" fillId="2" borderId="111" xfId="0" applyFont="1" applyFill="1" applyBorder="1" applyAlignment="1">
      <alignment horizontal="center" vertical="center" wrapText="1"/>
    </xf>
    <xf numFmtId="0" fontId="36" fillId="2" borderId="72" xfId="0" applyFont="1" applyFill="1" applyBorder="1" applyAlignment="1">
      <alignment horizontal="center" vertical="center" wrapText="1"/>
    </xf>
    <xf numFmtId="0" fontId="36" fillId="2" borderId="70" xfId="0" applyFont="1" applyFill="1" applyBorder="1" applyAlignment="1">
      <alignment horizontal="center" vertical="center" wrapText="1"/>
    </xf>
    <xf numFmtId="0" fontId="36" fillId="2" borderId="112" xfId="0" applyFont="1" applyFill="1" applyBorder="1" applyAlignment="1">
      <alignment horizontal="center" vertical="center" wrapText="1"/>
    </xf>
    <xf numFmtId="0" fontId="13" fillId="0" borderId="50" xfId="0" applyFont="1" applyBorder="1" applyAlignment="1">
      <alignment horizontal="center" vertical="center" wrapText="1"/>
    </xf>
    <xf numFmtId="9" fontId="15" fillId="0" borderId="50" xfId="1" applyFont="1" applyFill="1" applyBorder="1" applyAlignment="1">
      <alignment horizontal="center" vertical="center" textRotation="90" wrapText="1"/>
    </xf>
    <xf numFmtId="0" fontId="23" fillId="0" borderId="50" xfId="0" applyFont="1" applyBorder="1" applyAlignment="1">
      <alignment horizontal="center" vertical="center" textRotation="90" wrapText="1"/>
    </xf>
    <xf numFmtId="0" fontId="15" fillId="0" borderId="50" xfId="0" applyFont="1" applyBorder="1" applyAlignment="1">
      <alignment horizontal="center" vertical="center" textRotation="90" wrapText="1"/>
    </xf>
    <xf numFmtId="0" fontId="8" fillId="11" borderId="84" xfId="0" applyFont="1" applyFill="1" applyBorder="1" applyAlignment="1">
      <alignment horizontal="center" vertical="center" wrapText="1"/>
    </xf>
    <xf numFmtId="0" fontId="8" fillId="11" borderId="56" xfId="0" applyFont="1" applyFill="1" applyBorder="1" applyAlignment="1">
      <alignment horizontal="center" vertical="center" wrapText="1"/>
    </xf>
    <xf numFmtId="0" fontId="8" fillId="11" borderId="104" xfId="0" applyFont="1" applyFill="1" applyBorder="1" applyAlignment="1">
      <alignment horizontal="center" vertical="center" wrapText="1"/>
    </xf>
    <xf numFmtId="0" fontId="8" fillId="11" borderId="100" xfId="0" applyFont="1" applyFill="1" applyBorder="1" applyAlignment="1">
      <alignment horizontal="center" vertical="center" wrapText="1"/>
    </xf>
    <xf numFmtId="0" fontId="28" fillId="14" borderId="67" xfId="0" applyFont="1" applyFill="1" applyBorder="1" applyAlignment="1">
      <alignment horizontal="center" vertical="center" textRotation="90" wrapText="1"/>
    </xf>
    <xf numFmtId="0" fontId="28" fillId="14" borderId="77" xfId="0" applyFont="1" applyFill="1" applyBorder="1" applyAlignment="1">
      <alignment horizontal="center" vertical="center" textRotation="90" wrapText="1"/>
    </xf>
    <xf numFmtId="0" fontId="28" fillId="14" borderId="72" xfId="0" applyFont="1" applyFill="1" applyBorder="1" applyAlignment="1">
      <alignment horizontal="center" vertical="center" textRotation="90" wrapText="1"/>
    </xf>
    <xf numFmtId="0" fontId="14" fillId="22" borderId="67" xfId="0" applyFont="1" applyFill="1" applyBorder="1" applyAlignment="1">
      <alignment horizontal="center" vertical="center" wrapText="1"/>
    </xf>
    <xf numFmtId="0" fontId="14" fillId="22" borderId="83" xfId="0" applyFont="1" applyFill="1" applyBorder="1" applyAlignment="1">
      <alignment horizontal="center" vertical="center" wrapText="1"/>
    </xf>
    <xf numFmtId="0" fontId="14" fillId="22" borderId="84" xfId="0" applyFont="1" applyFill="1" applyBorder="1" applyAlignment="1">
      <alignment horizontal="center" vertical="center" wrapText="1"/>
    </xf>
    <xf numFmtId="0" fontId="37" fillId="15" borderId="49" xfId="0" applyFont="1" applyFill="1" applyBorder="1" applyAlignment="1">
      <alignment horizontal="center" vertical="center" textRotation="90" wrapText="1"/>
    </xf>
    <xf numFmtId="0" fontId="37" fillId="15" borderId="86" xfId="0" applyFont="1" applyFill="1" applyBorder="1" applyAlignment="1">
      <alignment horizontal="center" vertical="center" textRotation="90" wrapText="1"/>
    </xf>
    <xf numFmtId="0" fontId="9" fillId="0" borderId="73" xfId="0" applyFont="1" applyBorder="1" applyAlignment="1">
      <alignment horizontal="right" vertical="center" wrapText="1"/>
    </xf>
    <xf numFmtId="0" fontId="9" fillId="0" borderId="74" xfId="0" applyFont="1" applyBorder="1" applyAlignment="1">
      <alignment horizontal="right" vertical="center" wrapText="1"/>
    </xf>
    <xf numFmtId="0" fontId="9" fillId="0" borderId="101" xfId="0" applyFont="1" applyBorder="1" applyAlignment="1">
      <alignment horizontal="right" vertical="center" wrapText="1"/>
    </xf>
    <xf numFmtId="0" fontId="9" fillId="0" borderId="102" xfId="0" applyFont="1" applyBorder="1" applyAlignment="1">
      <alignment horizontal="right" vertical="center" wrapText="1"/>
    </xf>
    <xf numFmtId="0" fontId="9" fillId="0" borderId="6" xfId="0" applyFont="1" applyBorder="1" applyAlignment="1">
      <alignment horizontal="right" vertical="center" wrapText="1"/>
    </xf>
    <xf numFmtId="0" fontId="9" fillId="0" borderId="5" xfId="0" applyFont="1" applyBorder="1" applyAlignment="1">
      <alignment horizontal="right" vertical="center" wrapText="1"/>
    </xf>
    <xf numFmtId="0" fontId="9" fillId="24" borderId="49" xfId="0" applyFont="1" applyFill="1" applyBorder="1" applyAlignment="1">
      <alignment horizontal="center" vertical="center" textRotation="90" wrapText="1"/>
    </xf>
    <xf numFmtId="0" fontId="9" fillId="24" borderId="86" xfId="0" applyFont="1" applyFill="1" applyBorder="1" applyAlignment="1">
      <alignment horizontal="center" vertical="center" textRotation="90" wrapText="1"/>
    </xf>
    <xf numFmtId="166" fontId="28" fillId="19" borderId="91" xfId="0" applyNumberFormat="1" applyFont="1" applyFill="1" applyBorder="1" applyAlignment="1">
      <alignment horizontal="center" vertical="center" wrapText="1"/>
    </xf>
    <xf numFmtId="166" fontId="28" fillId="19" borderId="115" xfId="0" applyNumberFormat="1" applyFont="1" applyFill="1" applyBorder="1" applyAlignment="1">
      <alignment horizontal="center" vertical="center" wrapText="1"/>
    </xf>
    <xf numFmtId="166" fontId="28" fillId="19" borderId="105" xfId="0" applyNumberFormat="1" applyFont="1" applyFill="1" applyBorder="1" applyAlignment="1">
      <alignment horizontal="center" vertical="center" wrapText="1"/>
    </xf>
    <xf numFmtId="166" fontId="28" fillId="19" borderId="114" xfId="0" applyNumberFormat="1" applyFont="1" applyFill="1" applyBorder="1" applyAlignment="1">
      <alignment horizontal="center" vertical="center" wrapText="1"/>
    </xf>
    <xf numFmtId="166" fontId="28" fillId="19" borderId="8" xfId="0" applyNumberFormat="1" applyFont="1" applyFill="1" applyBorder="1" applyAlignment="1">
      <alignment horizontal="center" vertical="center" wrapText="1"/>
    </xf>
    <xf numFmtId="166" fontId="28" fillId="19" borderId="116" xfId="0" applyNumberFormat="1" applyFont="1" applyFill="1" applyBorder="1" applyAlignment="1">
      <alignment horizontal="center" vertical="center" wrapText="1"/>
    </xf>
    <xf numFmtId="0" fontId="9" fillId="21" borderId="49" xfId="0" applyFont="1" applyFill="1" applyBorder="1" applyAlignment="1">
      <alignment horizontal="center" vertical="center" textRotation="90" wrapText="1"/>
    </xf>
    <xf numFmtId="0" fontId="9" fillId="21" borderId="86" xfId="0" applyFont="1" applyFill="1" applyBorder="1" applyAlignment="1">
      <alignment horizontal="center" vertical="center" textRotation="90" wrapText="1"/>
    </xf>
    <xf numFmtId="0" fontId="18" fillId="20" borderId="49" xfId="0" applyFont="1" applyFill="1" applyBorder="1" applyAlignment="1">
      <alignment horizontal="center" vertical="center" textRotation="90" wrapText="1"/>
    </xf>
    <xf numFmtId="0" fontId="18" fillId="20" borderId="86" xfId="0" applyFont="1" applyFill="1" applyBorder="1" applyAlignment="1">
      <alignment horizontal="center" vertical="center" textRotation="90" wrapText="1"/>
    </xf>
    <xf numFmtId="0" fontId="11" fillId="19" borderId="48" xfId="0" applyFont="1" applyFill="1" applyBorder="1" applyAlignment="1">
      <alignment horizontal="center" vertical="center" wrapText="1"/>
    </xf>
    <xf numFmtId="0" fontId="11" fillId="19" borderId="108" xfId="0" applyFont="1" applyFill="1" applyBorder="1" applyAlignment="1">
      <alignment horizontal="center" vertical="center" wrapText="1"/>
    </xf>
    <xf numFmtId="0" fontId="11" fillId="19" borderId="0" xfId="0" applyFont="1" applyFill="1" applyAlignment="1">
      <alignment horizontal="center" vertical="center" wrapText="1"/>
    </xf>
    <xf numFmtId="0" fontId="11" fillId="19" borderId="109" xfId="0" applyFont="1" applyFill="1" applyBorder="1" applyAlignment="1">
      <alignment horizontal="center" vertical="center" wrapText="1"/>
    </xf>
    <xf numFmtId="0" fontId="11" fillId="19" borderId="68" xfId="0" applyFont="1" applyFill="1" applyBorder="1" applyAlignment="1">
      <alignment horizontal="center" vertical="center" wrapText="1"/>
    </xf>
    <xf numFmtId="0" fontId="11" fillId="19" borderId="113" xfId="0" applyFont="1" applyFill="1" applyBorder="1" applyAlignment="1">
      <alignment horizontal="center" vertical="center" wrapText="1"/>
    </xf>
    <xf numFmtId="166" fontId="28" fillId="19" borderId="70" xfId="0" applyNumberFormat="1" applyFont="1" applyFill="1" applyBorder="1" applyAlignment="1">
      <alignment horizontal="center" vertical="center" wrapText="1"/>
    </xf>
    <xf numFmtId="166" fontId="28" fillId="19" borderId="112" xfId="0" applyNumberFormat="1" applyFont="1" applyFill="1" applyBorder="1" applyAlignment="1">
      <alignment horizontal="center" vertical="center" wrapText="1"/>
    </xf>
    <xf numFmtId="166" fontId="28" fillId="24" borderId="49" xfId="0" applyNumberFormat="1" applyFont="1" applyFill="1" applyBorder="1" applyAlignment="1">
      <alignment horizontal="center" vertical="center" textRotation="90" wrapText="1"/>
    </xf>
    <xf numFmtId="166" fontId="28" fillId="24" borderId="86" xfId="0" applyNumberFormat="1" applyFont="1" applyFill="1" applyBorder="1" applyAlignment="1">
      <alignment horizontal="center" vertical="center" textRotation="90" wrapText="1"/>
    </xf>
    <xf numFmtId="166" fontId="28" fillId="24" borderId="85" xfId="0" applyNumberFormat="1" applyFont="1" applyFill="1" applyBorder="1" applyAlignment="1">
      <alignment horizontal="center" vertical="center" textRotation="90" wrapText="1"/>
    </xf>
    <xf numFmtId="166" fontId="28" fillId="21" borderId="49" xfId="0" applyNumberFormat="1" applyFont="1" applyFill="1" applyBorder="1" applyAlignment="1">
      <alignment horizontal="center" vertical="center" textRotation="90" wrapText="1"/>
    </xf>
    <xf numFmtId="166" fontId="28" fillId="21" borderId="50" xfId="0" applyNumberFormat="1" applyFont="1" applyFill="1" applyBorder="1" applyAlignment="1">
      <alignment horizontal="center" vertical="center" textRotation="90" wrapText="1"/>
    </xf>
    <xf numFmtId="166" fontId="28" fillId="21" borderId="106" xfId="0" applyNumberFormat="1" applyFont="1" applyFill="1" applyBorder="1" applyAlignment="1">
      <alignment horizontal="center" vertical="center" textRotation="90" wrapText="1"/>
    </xf>
    <xf numFmtId="166" fontId="28" fillId="20" borderId="49" xfId="0" applyNumberFormat="1" applyFont="1" applyFill="1" applyBorder="1" applyAlignment="1">
      <alignment horizontal="center" vertical="center" textRotation="90" wrapText="1"/>
    </xf>
    <xf numFmtId="166" fontId="28" fillId="20" borderId="86" xfId="0" applyNumberFormat="1" applyFont="1" applyFill="1" applyBorder="1" applyAlignment="1">
      <alignment horizontal="center" vertical="center" textRotation="90" wrapText="1"/>
    </xf>
    <xf numFmtId="166" fontId="28" fillId="20" borderId="85" xfId="0" applyNumberFormat="1" applyFont="1" applyFill="1" applyBorder="1" applyAlignment="1">
      <alignment horizontal="center" vertical="center" textRotation="90" wrapText="1"/>
    </xf>
    <xf numFmtId="166" fontId="28" fillId="19" borderId="48" xfId="0" applyNumberFormat="1" applyFont="1" applyFill="1" applyBorder="1" applyAlignment="1">
      <alignment horizontal="center" vertical="center" textRotation="90" wrapText="1"/>
    </xf>
    <xf numFmtId="166" fontId="28" fillId="19" borderId="108" xfId="0" applyNumberFormat="1" applyFont="1" applyFill="1" applyBorder="1" applyAlignment="1">
      <alignment horizontal="center" vertical="center" textRotation="90" wrapText="1"/>
    </xf>
    <xf numFmtId="166" fontId="28" fillId="19" borderId="0" xfId="0" applyNumberFormat="1" applyFont="1" applyFill="1" applyAlignment="1">
      <alignment horizontal="center" vertical="center" textRotation="90" wrapText="1"/>
    </xf>
    <xf numFmtId="166" fontId="28" fillId="19" borderId="109" xfId="0" applyNumberFormat="1" applyFont="1" applyFill="1" applyBorder="1" applyAlignment="1">
      <alignment horizontal="center" vertical="center" textRotation="90" wrapText="1"/>
    </xf>
    <xf numFmtId="166" fontId="28" fillId="19" borderId="68" xfId="0" applyNumberFormat="1" applyFont="1" applyFill="1" applyBorder="1" applyAlignment="1">
      <alignment horizontal="center" vertical="center" textRotation="90" wrapText="1"/>
    </xf>
    <xf numFmtId="166" fontId="28" fillId="19" borderId="113" xfId="0" applyNumberFormat="1" applyFont="1" applyFill="1" applyBorder="1" applyAlignment="1">
      <alignment horizontal="center" vertical="center" textRotation="90" wrapText="1"/>
    </xf>
    <xf numFmtId="0" fontId="27" fillId="0" borderId="0" xfId="0" applyFont="1" applyAlignment="1">
      <alignment horizontal="center"/>
    </xf>
    <xf numFmtId="0" fontId="11" fillId="11" borderId="77" xfId="0" applyFont="1" applyFill="1" applyBorder="1" applyAlignment="1">
      <alignment horizontal="right" vertical="center" indent="1"/>
    </xf>
    <xf numFmtId="0" fontId="30" fillId="18" borderId="67" xfId="0" applyFont="1" applyFill="1" applyBorder="1" applyAlignment="1">
      <alignment horizontal="center" vertical="center"/>
    </xf>
    <xf numFmtId="0" fontId="11" fillId="11" borderId="52" xfId="0" applyFont="1" applyFill="1" applyBorder="1" applyAlignment="1">
      <alignment horizontal="right" vertical="center" indent="1"/>
    </xf>
    <xf numFmtId="0" fontId="11" fillId="11" borderId="72" xfId="0" applyFont="1" applyFill="1" applyBorder="1" applyAlignment="1">
      <alignment horizontal="right" vertical="center" indent="1"/>
    </xf>
    <xf numFmtId="0" fontId="18" fillId="23" borderId="49" xfId="0" applyFont="1" applyFill="1" applyBorder="1" applyAlignment="1">
      <alignment horizontal="center" vertical="center" textRotation="90" wrapText="1"/>
    </xf>
    <xf numFmtId="0" fontId="18" fillId="23" borderId="86" xfId="0" applyFont="1" applyFill="1" applyBorder="1" applyAlignment="1">
      <alignment horizontal="center" vertical="center" textRotation="90" wrapText="1"/>
    </xf>
    <xf numFmtId="2" fontId="28" fillId="23" borderId="49" xfId="0" applyNumberFormat="1" applyFont="1" applyFill="1" applyBorder="1" applyAlignment="1">
      <alignment horizontal="center" vertical="center" textRotation="90" wrapText="1"/>
    </xf>
    <xf numFmtId="2" fontId="28" fillId="23" borderId="86" xfId="0" applyNumberFormat="1" applyFont="1" applyFill="1" applyBorder="1" applyAlignment="1">
      <alignment horizontal="center" vertical="center" textRotation="90" wrapText="1"/>
    </xf>
    <xf numFmtId="2" fontId="28" fillId="23" borderId="85" xfId="0" applyNumberFormat="1" applyFont="1" applyFill="1" applyBorder="1" applyAlignment="1">
      <alignment horizontal="center" vertical="center" textRotation="90" wrapText="1"/>
    </xf>
    <xf numFmtId="0" fontId="9" fillId="25" borderId="49" xfId="0" applyFont="1" applyFill="1" applyBorder="1" applyAlignment="1">
      <alignment horizontal="center" vertical="center" textRotation="90" wrapText="1"/>
    </xf>
    <xf numFmtId="0" fontId="9" fillId="25" borderId="86" xfId="0" applyFont="1" applyFill="1" applyBorder="1" applyAlignment="1">
      <alignment horizontal="center" vertical="center" textRotation="90" wrapText="1"/>
    </xf>
    <xf numFmtId="166" fontId="28" fillId="25" borderId="49" xfId="0" applyNumberFormat="1" applyFont="1" applyFill="1" applyBorder="1" applyAlignment="1">
      <alignment horizontal="center" vertical="center" textRotation="90" wrapText="1"/>
    </xf>
    <xf numFmtId="166" fontId="28" fillId="25" borderId="50" xfId="0" applyNumberFormat="1" applyFont="1" applyFill="1" applyBorder="1" applyAlignment="1">
      <alignment horizontal="center" vertical="center" textRotation="90" wrapText="1"/>
    </xf>
    <xf numFmtId="166" fontId="28" fillId="25" borderId="106" xfId="0" applyNumberFormat="1" applyFont="1" applyFill="1" applyBorder="1" applyAlignment="1">
      <alignment horizontal="center" vertical="center" textRotation="90" wrapText="1"/>
    </xf>
    <xf numFmtId="166" fontId="28" fillId="21" borderId="86" xfId="0" applyNumberFormat="1" applyFont="1" applyFill="1" applyBorder="1" applyAlignment="1">
      <alignment horizontal="center" vertical="center" textRotation="90" wrapText="1"/>
    </xf>
    <xf numFmtId="166" fontId="28" fillId="21" borderId="85" xfId="0" applyNumberFormat="1" applyFont="1" applyFill="1" applyBorder="1" applyAlignment="1">
      <alignment horizontal="center" vertical="center" textRotation="90" wrapText="1"/>
    </xf>
    <xf numFmtId="0" fontId="11" fillId="19" borderId="49" xfId="0" applyFont="1" applyFill="1" applyBorder="1" applyAlignment="1">
      <alignment horizontal="center" vertical="center" wrapText="1"/>
    </xf>
    <xf numFmtId="0" fontId="11" fillId="19" borderId="50" xfId="0" applyFont="1" applyFill="1" applyBorder="1" applyAlignment="1">
      <alignment horizontal="center" vertical="center" wrapText="1"/>
    </xf>
    <xf numFmtId="0" fontId="11" fillId="19" borderId="106" xfId="0" applyFont="1" applyFill="1" applyBorder="1" applyAlignment="1">
      <alignment horizontal="center" vertical="center" wrapText="1"/>
    </xf>
    <xf numFmtId="166" fontId="28" fillId="19" borderId="49" xfId="0" applyNumberFormat="1" applyFont="1" applyFill="1" applyBorder="1" applyAlignment="1">
      <alignment horizontal="center" vertical="center" textRotation="90" wrapText="1"/>
    </xf>
    <xf numFmtId="166" fontId="28" fillId="19" borderId="50" xfId="0" applyNumberFormat="1" applyFont="1" applyFill="1" applyBorder="1" applyAlignment="1">
      <alignment horizontal="center" vertical="center" textRotation="90" wrapText="1"/>
    </xf>
    <xf numFmtId="166" fontId="28" fillId="19" borderId="106" xfId="0" applyNumberFormat="1" applyFont="1" applyFill="1" applyBorder="1" applyAlignment="1">
      <alignment horizontal="center" vertical="center" textRotation="90" wrapText="1"/>
    </xf>
    <xf numFmtId="0" fontId="4" fillId="0" borderId="49" xfId="0" applyFont="1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5" fillId="14" borderId="68" xfId="0" applyFont="1" applyFill="1" applyBorder="1" applyAlignment="1">
      <alignment horizontal="center" vertical="center" wrapText="1"/>
    </xf>
    <xf numFmtId="0" fontId="15" fillId="14" borderId="8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434343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CE5CD"/>
        </patternFill>
      </fill>
    </dxf>
    <dxf>
      <font>
        <color theme="1"/>
      </font>
      <fill>
        <patternFill>
          <bgColor rgb="FFD9D2E9"/>
        </patternFill>
      </fill>
    </dxf>
    <dxf>
      <font>
        <color theme="1"/>
      </font>
      <fill>
        <patternFill>
          <bgColor rgb="FFCCCCCC"/>
        </patternFill>
      </fill>
    </dxf>
    <dxf>
      <font>
        <color theme="1"/>
      </font>
      <fill>
        <patternFill>
          <bgColor rgb="FFB7B7B7"/>
        </patternFill>
      </fill>
    </dxf>
    <dxf>
      <font>
        <color theme="1"/>
      </font>
      <fill>
        <patternFill>
          <bgColor rgb="FFF4CCCC"/>
        </patternFill>
      </fill>
    </dxf>
    <dxf>
      <fill>
        <patternFill>
          <bgColor rgb="FFD9EAD3"/>
        </patternFill>
      </fill>
    </dxf>
    <dxf>
      <font>
        <b val="0"/>
        <i val="0"/>
        <color theme="1"/>
      </font>
      <fill>
        <patternFill>
          <bgColor rgb="FFF4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B7E1CD"/>
        </patternFill>
      </fill>
    </dxf>
  </dxfs>
  <tableStyles count="0" defaultTableStyle="TableStyleMedium2" defaultPivotStyle="PivotStyleLight16"/>
  <colors>
    <mruColors>
      <color rgb="FF9DF3F5"/>
      <color rgb="FFFFFF55"/>
      <color rgb="FF434343"/>
      <color rgb="FFF40000"/>
      <color rgb="FFFE0000"/>
      <color rgb="FFEFEFEF"/>
      <color rgb="FFF7F7F7"/>
      <color rgb="FFF5F5F5"/>
      <color rgb="FFF0F0F0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563823</xdr:colOff>
      <xdr:row>1</xdr:row>
      <xdr:rowOff>128621</xdr:rowOff>
    </xdr:from>
    <xdr:to>
      <xdr:col>4</xdr:col>
      <xdr:colOff>516834</xdr:colOff>
      <xdr:row>6</xdr:row>
      <xdr:rowOff>101040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8B511F-7449-4FCD-9BE7-DC6470643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0183" y="311501"/>
          <a:ext cx="1019811" cy="1031599"/>
        </a:xfrm>
        <a:prstGeom prst="rect">
          <a:avLst/>
        </a:prstGeom>
      </xdr:spPr>
    </xdr:pic>
    <xdr:clientData/>
  </xdr:twoCellAnchor>
  <xdr:twoCellAnchor editAs="oneCell">
    <xdr:from>
      <xdr:col>2</xdr:col>
      <xdr:colOff>66261</xdr:colOff>
      <xdr:row>0</xdr:row>
      <xdr:rowOff>146063</xdr:rowOff>
    </xdr:from>
    <xdr:to>
      <xdr:col>3</xdr:col>
      <xdr:colOff>252454</xdr:colOff>
      <xdr:row>6</xdr:row>
      <xdr:rowOff>89217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5D1B7B-DC41-DC4B-C431-D02E9B89A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6" y="146063"/>
          <a:ext cx="1146313" cy="1175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7620</xdr:rowOff>
        </xdr:from>
        <xdr:to>
          <xdr:col>4</xdr:col>
          <xdr:colOff>502920</xdr:colOff>
          <xdr:row>9</xdr:row>
          <xdr:rowOff>160020</xdr:rowOff>
        </xdr:to>
        <xdr:sp macro="" textlink="">
          <xdr:nvSpPr>
            <xdr:cNvPr id="4153" name="CheckBox1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8</xdr:row>
          <xdr:rowOff>30480</xdr:rowOff>
        </xdr:from>
        <xdr:to>
          <xdr:col>9</xdr:col>
          <xdr:colOff>144780</xdr:colOff>
          <xdr:row>8</xdr:row>
          <xdr:rowOff>213360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Print Gradesheet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22860</xdr:rowOff>
        </xdr:from>
        <xdr:to>
          <xdr:col>4</xdr:col>
          <xdr:colOff>502920</xdr:colOff>
          <xdr:row>10</xdr:row>
          <xdr:rowOff>175260</xdr:rowOff>
        </xdr:to>
        <xdr:sp macro="" textlink="">
          <xdr:nvSpPr>
            <xdr:cNvPr id="4160" name="CheckBox2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11</xdr:row>
          <xdr:rowOff>15240</xdr:rowOff>
        </xdr:from>
        <xdr:to>
          <xdr:col>4</xdr:col>
          <xdr:colOff>502920</xdr:colOff>
          <xdr:row>11</xdr:row>
          <xdr:rowOff>175260</xdr:rowOff>
        </xdr:to>
        <xdr:sp macro="" textlink="">
          <xdr:nvSpPr>
            <xdr:cNvPr id="4161" name="CheckBox3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563823</xdr:colOff>
      <xdr:row>1</xdr:row>
      <xdr:rowOff>128621</xdr:rowOff>
    </xdr:from>
    <xdr:to>
      <xdr:col>4</xdr:col>
      <xdr:colOff>516834</xdr:colOff>
      <xdr:row>6</xdr:row>
      <xdr:rowOff>101040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D8E8CE-2472-4CC6-9727-2EE6B47A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0183" y="311501"/>
          <a:ext cx="1019811" cy="1031599"/>
        </a:xfrm>
        <a:prstGeom prst="rect">
          <a:avLst/>
        </a:prstGeom>
      </xdr:spPr>
    </xdr:pic>
    <xdr:clientData/>
  </xdr:twoCellAnchor>
  <xdr:twoCellAnchor editAs="oneCell">
    <xdr:from>
      <xdr:col>2</xdr:col>
      <xdr:colOff>66261</xdr:colOff>
      <xdr:row>0</xdr:row>
      <xdr:rowOff>146063</xdr:rowOff>
    </xdr:from>
    <xdr:to>
      <xdr:col>3</xdr:col>
      <xdr:colOff>252454</xdr:colOff>
      <xdr:row>6</xdr:row>
      <xdr:rowOff>89217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CCB36B-0D41-4783-9F71-06391EA55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501" y="146063"/>
          <a:ext cx="1146313" cy="11852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7620</xdr:rowOff>
        </xdr:from>
        <xdr:to>
          <xdr:col>4</xdr:col>
          <xdr:colOff>502920</xdr:colOff>
          <xdr:row>9</xdr:row>
          <xdr:rowOff>160020</xdr:rowOff>
        </xdr:to>
        <xdr:sp macro="" textlink="">
          <xdr:nvSpPr>
            <xdr:cNvPr id="39937" name="Check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8</xdr:row>
          <xdr:rowOff>30480</xdr:rowOff>
        </xdr:from>
        <xdr:to>
          <xdr:col>9</xdr:col>
          <xdr:colOff>144780</xdr:colOff>
          <xdr:row>8</xdr:row>
          <xdr:rowOff>213360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Print Gradesheet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22860</xdr:rowOff>
        </xdr:from>
        <xdr:to>
          <xdr:col>4</xdr:col>
          <xdr:colOff>502920</xdr:colOff>
          <xdr:row>10</xdr:row>
          <xdr:rowOff>175260</xdr:rowOff>
        </xdr:to>
        <xdr:sp macro="" textlink="">
          <xdr:nvSpPr>
            <xdr:cNvPr id="39939" name="CheckBox2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3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11</xdr:row>
          <xdr:rowOff>15240</xdr:rowOff>
        </xdr:from>
        <xdr:to>
          <xdr:col>4</xdr:col>
          <xdr:colOff>502920</xdr:colOff>
          <xdr:row>11</xdr:row>
          <xdr:rowOff>175260</xdr:rowOff>
        </xdr:to>
        <xdr:sp macro="" textlink="">
          <xdr:nvSpPr>
            <xdr:cNvPr id="39940" name="CheckBox3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3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563823</xdr:colOff>
      <xdr:row>1</xdr:row>
      <xdr:rowOff>128621</xdr:rowOff>
    </xdr:from>
    <xdr:to>
      <xdr:col>4</xdr:col>
      <xdr:colOff>516834</xdr:colOff>
      <xdr:row>6</xdr:row>
      <xdr:rowOff>101040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512FEE-0C97-4308-A0C1-E49BC319A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0183" y="311501"/>
          <a:ext cx="1019811" cy="1031599"/>
        </a:xfrm>
        <a:prstGeom prst="rect">
          <a:avLst/>
        </a:prstGeom>
      </xdr:spPr>
    </xdr:pic>
    <xdr:clientData/>
  </xdr:twoCellAnchor>
  <xdr:twoCellAnchor editAs="oneCell">
    <xdr:from>
      <xdr:col>2</xdr:col>
      <xdr:colOff>66261</xdr:colOff>
      <xdr:row>0</xdr:row>
      <xdr:rowOff>146063</xdr:rowOff>
    </xdr:from>
    <xdr:to>
      <xdr:col>3</xdr:col>
      <xdr:colOff>252454</xdr:colOff>
      <xdr:row>6</xdr:row>
      <xdr:rowOff>89217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9F6508-D5E3-408A-AA18-79D10AEC3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501" y="146063"/>
          <a:ext cx="1146313" cy="11852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7620</xdr:rowOff>
        </xdr:from>
        <xdr:to>
          <xdr:col>4</xdr:col>
          <xdr:colOff>502920</xdr:colOff>
          <xdr:row>9</xdr:row>
          <xdr:rowOff>160020</xdr:rowOff>
        </xdr:to>
        <xdr:sp macro="" textlink="">
          <xdr:nvSpPr>
            <xdr:cNvPr id="37889" name="Check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8</xdr:row>
          <xdr:rowOff>30480</xdr:rowOff>
        </xdr:from>
        <xdr:to>
          <xdr:col>9</xdr:col>
          <xdr:colOff>144780</xdr:colOff>
          <xdr:row>8</xdr:row>
          <xdr:rowOff>213360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Print Gradesheet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22860</xdr:rowOff>
        </xdr:from>
        <xdr:to>
          <xdr:col>4</xdr:col>
          <xdr:colOff>502920</xdr:colOff>
          <xdr:row>10</xdr:row>
          <xdr:rowOff>175260</xdr:rowOff>
        </xdr:to>
        <xdr:sp macro="" textlink="">
          <xdr:nvSpPr>
            <xdr:cNvPr id="37891" name="CheckBox2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11</xdr:row>
          <xdr:rowOff>15240</xdr:rowOff>
        </xdr:from>
        <xdr:to>
          <xdr:col>4</xdr:col>
          <xdr:colOff>502920</xdr:colOff>
          <xdr:row>11</xdr:row>
          <xdr:rowOff>175260</xdr:rowOff>
        </xdr:to>
        <xdr:sp macro="" textlink="">
          <xdr:nvSpPr>
            <xdr:cNvPr id="37892" name="CheckBox3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4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4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7F136-8B64-4A55-A760-FDE7C5F9170D}">
  <sheetPr codeName="Sheet7"/>
  <dimension ref="B3:J114"/>
  <sheetViews>
    <sheetView topLeftCell="B16" workbookViewId="0">
      <selection activeCell="C37" sqref="C37"/>
    </sheetView>
  </sheetViews>
  <sheetFormatPr defaultRowHeight="14.4"/>
  <cols>
    <col min="1" max="1" width="8.88671875" style="72"/>
    <col min="2" max="2" width="27" style="72" bestFit="1" customWidth="1"/>
    <col min="3" max="3" width="41" style="72" bestFit="1" customWidth="1"/>
    <col min="4" max="4" width="39.88671875" style="72" bestFit="1" customWidth="1"/>
    <col min="5" max="5" width="39.6640625" style="72" bestFit="1" customWidth="1"/>
    <col min="6" max="6" width="39.88671875" style="72" bestFit="1" customWidth="1"/>
    <col min="7" max="7" width="9" style="72" bestFit="1" customWidth="1"/>
    <col min="8" max="8" width="17.44140625" style="72" bestFit="1" customWidth="1"/>
    <col min="9" max="9" width="39.6640625" style="72" bestFit="1" customWidth="1"/>
    <col min="10" max="10" width="4" style="72" bestFit="1" customWidth="1"/>
    <col min="11" max="16384" width="8.88671875" style="72"/>
  </cols>
  <sheetData>
    <row r="3" spans="2:4">
      <c r="B3" s="72" t="s">
        <v>81</v>
      </c>
      <c r="C3" s="72" t="str">
        <f ca="1">CELL("address", PRELIM!G15)</f>
        <v>'[Averaging Grading Sheet.xlsm]PRELIM'!$G$15</v>
      </c>
      <c r="D3" s="72" t="str">
        <f ca="1">SUBSTITUTE(MID(C3,FIND("!",C3)+1,99),"$","")</f>
        <v>G15</v>
      </c>
    </row>
    <row r="4" spans="2:4">
      <c r="C4" s="72" t="str">
        <f ca="1">CELL("address", PRELIM!I15)</f>
        <v>'[Averaging Grading Sheet.xlsm]PRELIM'!$I$15</v>
      </c>
      <c r="D4" s="72" t="str">
        <f t="shared" ref="D4:D26" ca="1" si="0">SUBSTITUTE(MID(C4,FIND("!",C4)+1,99),"$","")</f>
        <v>I15</v>
      </c>
    </row>
    <row r="5" spans="2:4">
      <c r="C5" s="72" t="str">
        <f ca="1">CELL("address", PRELIM!K15)</f>
        <v>'[Averaging Grading Sheet.xlsm]PRELIM'!$K$15</v>
      </c>
      <c r="D5" s="72" t="str">
        <f t="shared" ca="1" si="0"/>
        <v>K15</v>
      </c>
    </row>
    <row r="6" spans="2:4">
      <c r="C6" s="72" t="str">
        <f ca="1">CELL("address", PRELIM!M15)</f>
        <v>'[Averaging Grading Sheet.xlsm]PRELIM'!$M$15</v>
      </c>
      <c r="D6" s="72" t="str">
        <f t="shared" ca="1" si="0"/>
        <v>M15</v>
      </c>
    </row>
    <row r="7" spans="2:4">
      <c r="C7" s="72" t="str">
        <f ca="1">CELL("address", PRELIM!O15)</f>
        <v>'[Averaging Grading Sheet.xlsm]PRELIM'!$O$15</v>
      </c>
      <c r="D7" s="72" t="str">
        <f t="shared" ca="1" si="0"/>
        <v>O15</v>
      </c>
    </row>
    <row r="8" spans="2:4">
      <c r="C8" s="72" t="str">
        <f ca="1">CELL("address", PRELIM!Q15)</f>
        <v>'[Averaging Grading Sheet.xlsm]PRELIM'!$Q$15</v>
      </c>
      <c r="D8" s="72" t="str">
        <f t="shared" ca="1" si="0"/>
        <v>Q15</v>
      </c>
    </row>
    <row r="9" spans="2:4">
      <c r="C9" s="72" t="str">
        <f ca="1">CELL("address", PRELIM!S15)</f>
        <v>'[Averaging Grading Sheet.xlsm]PRELIM'!$S$15</v>
      </c>
      <c r="D9" s="72" t="str">
        <f t="shared" ca="1" si="0"/>
        <v>S15</v>
      </c>
    </row>
    <row r="10" spans="2:4">
      <c r="C10" s="72" t="str">
        <f ca="1">CELL("address", PRELIM!U15)</f>
        <v>'[Averaging Grading Sheet.xlsm]PRELIM'!$U$15</v>
      </c>
      <c r="D10" s="72" t="str">
        <f t="shared" ca="1" si="0"/>
        <v>U15</v>
      </c>
    </row>
    <row r="11" spans="2:4">
      <c r="C11" s="72" t="str">
        <f ca="1">CELL("address", PRELIM!W15)</f>
        <v>'[Averaging Grading Sheet.xlsm]PRELIM'!$W$15</v>
      </c>
      <c r="D11" s="72" t="str">
        <f t="shared" ca="1" si="0"/>
        <v>W15</v>
      </c>
    </row>
    <row r="12" spans="2:4">
      <c r="C12" s="72" t="str">
        <f ca="1">CELL("address", PRELIM!Y15)</f>
        <v>'[Averaging Grading Sheet.xlsm]PRELIM'!$Y$15</v>
      </c>
      <c r="D12" s="72" t="str">
        <f t="shared" ca="1" si="0"/>
        <v>Y15</v>
      </c>
    </row>
    <row r="14" spans="2:4">
      <c r="B14" s="72" t="s">
        <v>82</v>
      </c>
      <c r="C14" s="72" t="str">
        <f ca="1">CELL("address", PRELIM!G16)</f>
        <v>'[Averaging Grading Sheet.xlsm]PRELIM'!$G$16</v>
      </c>
      <c r="D14" s="72" t="str">
        <f t="shared" ca="1" si="0"/>
        <v>G16</v>
      </c>
    </row>
    <row r="15" spans="2:4">
      <c r="C15" s="72" t="str">
        <f ca="1">CELL("address", PRELIM!I16)</f>
        <v>'[Averaging Grading Sheet.xlsm]PRELIM'!$I$16</v>
      </c>
      <c r="D15" s="72" t="str">
        <f t="shared" ca="1" si="0"/>
        <v>I16</v>
      </c>
    </row>
    <row r="16" spans="2:4">
      <c r="C16" s="72" t="str">
        <f ca="1">CELL("address", PRELIM!K16)</f>
        <v>'[Averaging Grading Sheet.xlsm]PRELIM'!$K$16</v>
      </c>
      <c r="D16" s="72" t="str">
        <f t="shared" ca="1" si="0"/>
        <v>K16</v>
      </c>
    </row>
    <row r="17" spans="2:10">
      <c r="C17" s="72" t="str">
        <f ca="1">CELL("address", PRELIM!M16)</f>
        <v>'[Averaging Grading Sheet.xlsm]PRELIM'!$M$16</v>
      </c>
      <c r="D17" s="72" t="str">
        <f t="shared" ca="1" si="0"/>
        <v>M16</v>
      </c>
    </row>
    <row r="18" spans="2:10">
      <c r="C18" s="72" t="str">
        <f ca="1">CELL("address", PRELIM!O16)</f>
        <v>'[Averaging Grading Sheet.xlsm]PRELIM'!$O$16</v>
      </c>
      <c r="D18" s="72" t="str">
        <f t="shared" ca="1" si="0"/>
        <v>O16</v>
      </c>
    </row>
    <row r="19" spans="2:10">
      <c r="C19" s="72" t="str">
        <f ca="1">CELL("address", PRELIM!Q16)</f>
        <v>'[Averaging Grading Sheet.xlsm]PRELIM'!$Q$16</v>
      </c>
      <c r="D19" s="72" t="str">
        <f t="shared" ca="1" si="0"/>
        <v>Q16</v>
      </c>
    </row>
    <row r="20" spans="2:10">
      <c r="C20" s="72" t="str">
        <f ca="1">CELL("address", PRELIM!S16)</f>
        <v>'[Averaging Grading Sheet.xlsm]PRELIM'!$S$16</v>
      </c>
      <c r="D20" s="72" t="str">
        <f t="shared" ca="1" si="0"/>
        <v>S16</v>
      </c>
    </row>
    <row r="21" spans="2:10">
      <c r="C21" s="72" t="str">
        <f ca="1">CELL("address", PRELIM!U16)</f>
        <v>'[Averaging Grading Sheet.xlsm]PRELIM'!$U$16</v>
      </c>
      <c r="D21" s="72" t="str">
        <f t="shared" ca="1" si="0"/>
        <v>U16</v>
      </c>
    </row>
    <row r="22" spans="2:10">
      <c r="C22" s="72" t="str">
        <f ca="1">CELL("address", PRELIM!W16)</f>
        <v>'[Averaging Grading Sheet.xlsm]PRELIM'!$W$16</v>
      </c>
      <c r="D22" s="72" t="str">
        <f t="shared" ca="1" si="0"/>
        <v>W16</v>
      </c>
    </row>
    <row r="23" spans="2:10">
      <c r="C23" s="72" t="str">
        <f ca="1">CELL("address", PRELIM!Y16)</f>
        <v>'[Averaging Grading Sheet.xlsm]PRELIM'!$Y$16</v>
      </c>
      <c r="D23" s="72" t="str">
        <f t="shared" ca="1" si="0"/>
        <v>Y16</v>
      </c>
    </row>
    <row r="25" spans="2:10">
      <c r="B25" s="72" t="s">
        <v>83</v>
      </c>
      <c r="C25" s="72" t="str">
        <f ca="1">CELL("address", PRELIM!E10)</f>
        <v>'[Averaging Grading Sheet.xlsm]PRELIM'!$E$10</v>
      </c>
      <c r="D25" s="72" t="str">
        <f t="shared" ca="1" si="0"/>
        <v>E10</v>
      </c>
      <c r="E25" s="72" t="s">
        <v>149</v>
      </c>
      <c r="F25" s="72" t="str">
        <f ca="1">CELL("address", PRELIM!E11)</f>
        <v>'[Averaging Grading Sheet.xlsm]PRELIM'!$E$11</v>
      </c>
      <c r="G25" s="72" t="str">
        <f t="shared" ref="G25:G26" ca="1" si="1">SUBSTITUTE(MID(F25,FIND("!",F25)+1,99),"$","")</f>
        <v>E11</v>
      </c>
      <c r="H25" s="72" t="s">
        <v>151</v>
      </c>
      <c r="I25" s="72" t="str">
        <f ca="1">CELL("address", PRELIM!E12)</f>
        <v>'[Averaging Grading Sheet.xlsm]PRELIM'!$E$12</v>
      </c>
      <c r="J25" s="72" t="str">
        <f t="shared" ref="J25:J26" ca="1" si="2">SUBSTITUTE(MID(I25,FIND("!",I25)+1,99),"$","")</f>
        <v>E12</v>
      </c>
    </row>
    <row r="26" spans="2:10">
      <c r="B26" s="72" t="s">
        <v>84</v>
      </c>
      <c r="C26" s="72" t="str">
        <f ca="1">CELL("address", PRELIM!F10)</f>
        <v>'[Averaging Grading Sheet.xlsm]PRELIM'!$F$10</v>
      </c>
      <c r="D26" s="72" t="str">
        <f t="shared" ca="1" si="0"/>
        <v>F10</v>
      </c>
      <c r="E26" s="72" t="s">
        <v>150</v>
      </c>
      <c r="F26" s="72" t="str">
        <f ca="1">CELL("address", PRELIM!F11)</f>
        <v>'[Averaging Grading Sheet.xlsm]PRELIM'!$F$11</v>
      </c>
      <c r="G26" s="72" t="str">
        <f t="shared" ca="1" si="1"/>
        <v>F11</v>
      </c>
      <c r="H26" s="72" t="s">
        <v>152</v>
      </c>
      <c r="I26" s="72" t="str">
        <f ca="1">CELL("address", PRELIM!F12)</f>
        <v>'[Averaging Grading Sheet.xlsm]PRELIM'!$F$12</v>
      </c>
      <c r="J26" s="72" t="str">
        <f t="shared" ca="1" si="2"/>
        <v>F12</v>
      </c>
    </row>
    <row r="28" spans="2:10">
      <c r="B28" s="72" t="s">
        <v>85</v>
      </c>
      <c r="C28" s="72" t="str">
        <f ca="1">CELL("address", PRELIM!B2)</f>
        <v>'[Averaging Grading Sheet.xlsm]PRELIM'!$B$2</v>
      </c>
      <c r="D28" s="72" t="str">
        <f t="shared" ref="D28:D29" ca="1" si="3">SUBSTITUTE(MID(C28,FIND("!",C28)+1,99),"$","")</f>
        <v>B2</v>
      </c>
    </row>
    <row r="29" spans="2:10">
      <c r="C29" s="72" t="str">
        <f ca="1">CELL("address", PRELIM!AJ7)</f>
        <v>'[Averaging Grading Sheet.xlsm]PRELIM'!$AJ$7</v>
      </c>
      <c r="D29" s="72" t="str">
        <f t="shared" ca="1" si="3"/>
        <v>AJ7</v>
      </c>
    </row>
    <row r="30" spans="2:10">
      <c r="D30" s="72" t="str">
        <f ca="1">CONCATENATE(D28,":",D29)</f>
        <v>B2:AJ7</v>
      </c>
    </row>
    <row r="32" spans="2:10">
      <c r="B32" s="72" t="s">
        <v>86</v>
      </c>
      <c r="C32" s="72" t="str">
        <f ca="1">CELL("address", PRELIM!B9)</f>
        <v>'[Averaging Grading Sheet.xlsm]PRELIM'!$B$9</v>
      </c>
      <c r="D32" s="72" t="str">
        <f t="shared" ref="D32:D33" ca="1" si="4">SUBSTITUTE(MID(C32,FIND("!",C32)+1,99),"$","")</f>
        <v>B9</v>
      </c>
    </row>
    <row r="33" spans="2:4">
      <c r="C33" s="72" t="str">
        <f ca="1">CELL("address", PRELIM!E12)</f>
        <v>'[Averaging Grading Sheet.xlsm]PRELIM'!$E$12</v>
      </c>
      <c r="D33" s="72" t="str">
        <f t="shared" ca="1" si="4"/>
        <v>E12</v>
      </c>
    </row>
    <row r="34" spans="2:4">
      <c r="D34" s="72" t="str">
        <f ca="1">CONCATENATE(D32,":",D33)</f>
        <v>B9:E12</v>
      </c>
    </row>
    <row r="36" spans="2:4">
      <c r="B36" s="72" t="s">
        <v>87</v>
      </c>
      <c r="C36" s="72" t="str">
        <f ca="1">CELL("address", PRELIM!B14)</f>
        <v>'[Averaging Grading Sheet.xlsm]PRELIM'!$B$14</v>
      </c>
      <c r="D36" s="72" t="str">
        <f t="shared" ref="D36:D37" ca="1" si="5">SUBSTITUTE(MID(C36,FIND("!",C36)+1,99),"$","")</f>
        <v>B14</v>
      </c>
    </row>
    <row r="37" spans="2:4">
      <c r="C37" s="72" t="str">
        <f ca="1">CELL("address", PRELIM!E77)</f>
        <v>'[Averaging Grading Sheet.xlsm]PRELIM'!$E$77</v>
      </c>
      <c r="D37" s="72" t="str">
        <f t="shared" ca="1" si="5"/>
        <v>E77</v>
      </c>
    </row>
    <row r="38" spans="2:4">
      <c r="D38" s="72" t="str">
        <f ca="1">CONCATENATE(D36,":",D37)</f>
        <v>B14:E77</v>
      </c>
    </row>
    <row r="40" spans="2:4">
      <c r="B40" s="72" t="s">
        <v>88</v>
      </c>
      <c r="C40" s="72" t="str">
        <f ca="1">CELL("address", PRELIM!G9)</f>
        <v>'[Averaging Grading Sheet.xlsm]PRELIM'!$G$9</v>
      </c>
      <c r="D40" s="72" t="str">
        <f t="shared" ref="D40:D41" ca="1" si="6">SUBSTITUTE(MID(C40,FIND("!",C40)+1,99),"$","")</f>
        <v>G9</v>
      </c>
    </row>
    <row r="41" spans="2:4">
      <c r="C41" s="72" t="str">
        <f ca="1">CELL("address", PRELIM!Z77)</f>
        <v>'[Averaging Grading Sheet.xlsm]PRELIM'!$Z$77</v>
      </c>
      <c r="D41" s="72" t="str">
        <f t="shared" ca="1" si="6"/>
        <v>Z77</v>
      </c>
    </row>
    <row r="42" spans="2:4">
      <c r="D42" s="72" t="str">
        <f ca="1">CONCATENATE(D40,":",D41)</f>
        <v>G9:Z77</v>
      </c>
    </row>
    <row r="44" spans="2:4">
      <c r="B44" s="72" t="s">
        <v>89</v>
      </c>
      <c r="C44" s="72" t="str">
        <f ca="1">CELL("address", PRELIM!AB9)</f>
        <v>'[Averaging Grading Sheet.xlsm]PRELIM'!$AB$9</v>
      </c>
      <c r="D44" s="72" t="str">
        <f t="shared" ref="D44:D45" ca="1" si="7">SUBSTITUTE(MID(C44,FIND("!",C44)+1,99),"$","")</f>
        <v>AB9</v>
      </c>
    </row>
    <row r="45" spans="2:4">
      <c r="C45" s="72" t="str">
        <f ca="1">CELL("address", PRELIM!AB77)</f>
        <v>'[Averaging Grading Sheet.xlsm]PRELIM'!$AB$77</v>
      </c>
      <c r="D45" s="72" t="str">
        <f t="shared" ca="1" si="7"/>
        <v>AB77</v>
      </c>
    </row>
    <row r="46" spans="2:4">
      <c r="D46" s="72" t="str">
        <f ca="1">CONCATENATE(D44,":",D45)</f>
        <v>AB9:AB77</v>
      </c>
    </row>
    <row r="48" spans="2:4">
      <c r="B48" s="72" t="s">
        <v>90</v>
      </c>
      <c r="C48" s="72" t="str">
        <f ca="1">CELL("address", PRELIM!AD9)</f>
        <v>'[Averaging Grading Sheet.xlsm]PRELIM'!$AD$9</v>
      </c>
      <c r="D48" s="72" t="str">
        <f t="shared" ref="D48:D49" ca="1" si="8">SUBSTITUTE(MID(C48,FIND("!",C48)+1,99),"$","")</f>
        <v>AD9</v>
      </c>
    </row>
    <row r="49" spans="2:7">
      <c r="C49" s="72" t="str">
        <f ca="1">CELL("address", PRELIM!AD77)</f>
        <v>'[Averaging Grading Sheet.xlsm]PRELIM'!$AD$77</v>
      </c>
      <c r="D49" s="72" t="str">
        <f t="shared" ca="1" si="8"/>
        <v>AD77</v>
      </c>
    </row>
    <row r="50" spans="2:7">
      <c r="D50" s="72" t="str">
        <f ca="1">CONCATENATE(D48,":",D49)</f>
        <v>AD9:AD77</v>
      </c>
    </row>
    <row r="52" spans="2:7">
      <c r="B52" s="72" t="s">
        <v>91</v>
      </c>
      <c r="C52" s="72" t="str">
        <f ca="1">CELL("address", PRELIM!AF9)</f>
        <v>'[Averaging Grading Sheet.xlsm]PRELIM'!$AF$9</v>
      </c>
      <c r="D52" s="72" t="str">
        <f t="shared" ref="D52:D53" ca="1" si="9">SUBSTITUTE(MID(C52,FIND("!",C52)+1,99),"$","")</f>
        <v>AF9</v>
      </c>
      <c r="E52" s="72" t="s">
        <v>162</v>
      </c>
      <c r="F52" s="72" t="str">
        <f ca="1">CELL("address", PRELIM!B72)</f>
        <v>'[Averaging Grading Sheet.xlsm]PRELIM'!$B$72</v>
      </c>
      <c r="G52" s="72" t="str">
        <f t="shared" ref="G52:G53" ca="1" si="10">SUBSTITUTE(MID(F52,FIND("!",F52)+1,99),"$","")</f>
        <v>B72</v>
      </c>
    </row>
    <row r="53" spans="2:7">
      <c r="C53" s="72" t="str">
        <f ca="1">CELL("address", PRELIM!AJ77)</f>
        <v>'[Averaging Grading Sheet.xlsm]PRELIM'!$AJ$77</v>
      </c>
      <c r="D53" s="72" t="str">
        <f t="shared" ca="1" si="9"/>
        <v>AJ77</v>
      </c>
      <c r="F53" s="72" t="str">
        <f ca="1">CELL("address", PRELIM!AJ77)</f>
        <v>'[Averaging Grading Sheet.xlsm]PRELIM'!$AJ$77</v>
      </c>
      <c r="G53" s="72" t="str">
        <f t="shared" ca="1" si="10"/>
        <v>AJ77</v>
      </c>
    </row>
    <row r="54" spans="2:7">
      <c r="D54" s="72" t="str">
        <f ca="1">CONCATENATE(D52,":",D53)</f>
        <v>AF9:AJ77</v>
      </c>
      <c r="G54" s="72" t="str">
        <f ca="1">CONCATENATE(G52,":",G53)</f>
        <v>B72:AJ77</v>
      </c>
    </row>
    <row r="56" spans="2:7">
      <c r="B56" s="72" t="s">
        <v>94</v>
      </c>
      <c r="C56" s="72" t="str">
        <f ca="1">CELL("address", PRELIM!C17)</f>
        <v>'[Averaging Grading Sheet.xlsm]PRELIM'!$C$17</v>
      </c>
      <c r="D56" s="72" t="str">
        <f ca="1">CELL("address", PRELIM!D17)</f>
        <v>'[Averaging Grading Sheet.xlsm]PRELIM'!$D$17</v>
      </c>
      <c r="E56" s="72" t="str">
        <f ca="1">CELL("address", PRELIM!E17)</f>
        <v>'[Averaging Grading Sheet.xlsm]PRELIM'!$E$17</v>
      </c>
      <c r="F56" s="72">
        <f ca="1">ROW(INDIRECT(C56))</f>
        <v>17</v>
      </c>
      <c r="G56" s="72" t="str">
        <f ca="1">CONCATENATE(SUBSTITUTE(MID(C56,FIND("!",C56)+1,99),"$",""),":",SUBSTITUTE(MID(E56,FIND("!",E56)+1,99),"$",""))</f>
        <v>C17:E17</v>
      </c>
    </row>
    <row r="57" spans="2:7">
      <c r="B57" s="72" t="s">
        <v>95</v>
      </c>
      <c r="C57" s="72" t="str">
        <f ca="1">CELL("address", PRELIM!C18)</f>
        <v>'[Averaging Grading Sheet.xlsm]PRELIM'!$C$18</v>
      </c>
      <c r="D57" s="72" t="str">
        <f ca="1">CELL("address", PRELIM!D18)</f>
        <v>'[Averaging Grading Sheet.xlsm]PRELIM'!$D$18</v>
      </c>
      <c r="E57" s="72" t="str">
        <f ca="1">CELL("address", PRELIM!E18)</f>
        <v>'[Averaging Grading Sheet.xlsm]PRELIM'!$E$18</v>
      </c>
      <c r="F57" s="72">
        <f t="shared" ref="F57:F110" ca="1" si="11">ROW(INDIRECT(C57))</f>
        <v>18</v>
      </c>
      <c r="G57" s="72" t="str">
        <f t="shared" ref="G57:G110" ca="1" si="12">CONCATENATE(SUBSTITUTE(MID(C57,FIND("!",C57)+1,99),"$",""),":",SUBSTITUTE(MID(E57,FIND("!",E57)+1,99),"$",""))</f>
        <v>C18:E18</v>
      </c>
    </row>
    <row r="58" spans="2:7">
      <c r="B58" s="72" t="s">
        <v>96</v>
      </c>
      <c r="C58" s="72" t="str">
        <f ca="1">CELL("address", PRELIM!C19)</f>
        <v>'[Averaging Grading Sheet.xlsm]PRELIM'!$C$19</v>
      </c>
      <c r="D58" s="72" t="str">
        <f ca="1">CELL("address", PRELIM!D19)</f>
        <v>'[Averaging Grading Sheet.xlsm]PRELIM'!$D$19</v>
      </c>
      <c r="E58" s="72" t="str">
        <f ca="1">CELL("address", PRELIM!E19)</f>
        <v>'[Averaging Grading Sheet.xlsm]PRELIM'!$E$19</v>
      </c>
      <c r="F58" s="72">
        <f t="shared" ca="1" si="11"/>
        <v>19</v>
      </c>
      <c r="G58" s="72" t="str">
        <f t="shared" ca="1" si="12"/>
        <v>C19:E19</v>
      </c>
    </row>
    <row r="59" spans="2:7">
      <c r="B59" s="72" t="s">
        <v>97</v>
      </c>
      <c r="C59" s="72" t="str">
        <f ca="1">CELL("address", PRELIM!C20)</f>
        <v>'[Averaging Grading Sheet.xlsm]PRELIM'!$C$20</v>
      </c>
      <c r="D59" s="72" t="str">
        <f ca="1">CELL("address", PRELIM!D20)</f>
        <v>'[Averaging Grading Sheet.xlsm]PRELIM'!$D$20</v>
      </c>
      <c r="E59" s="72" t="str">
        <f ca="1">CELL("address", PRELIM!E20)</f>
        <v>'[Averaging Grading Sheet.xlsm]PRELIM'!$E$20</v>
      </c>
      <c r="F59" s="72">
        <f t="shared" ca="1" si="11"/>
        <v>20</v>
      </c>
      <c r="G59" s="72" t="str">
        <f t="shared" ca="1" si="12"/>
        <v>C20:E20</v>
      </c>
    </row>
    <row r="60" spans="2:7">
      <c r="B60" s="72" t="s">
        <v>98</v>
      </c>
      <c r="C60" s="72" t="str">
        <f ca="1">CELL("address", PRELIM!C21)</f>
        <v>'[Averaging Grading Sheet.xlsm]PRELIM'!$C$21</v>
      </c>
      <c r="D60" s="72" t="str">
        <f ca="1">CELL("address", PRELIM!D21)</f>
        <v>'[Averaging Grading Sheet.xlsm]PRELIM'!$D$21</v>
      </c>
      <c r="E60" s="72" t="str">
        <f ca="1">CELL("address", PRELIM!E21)</f>
        <v>'[Averaging Grading Sheet.xlsm]PRELIM'!$E$21</v>
      </c>
      <c r="F60" s="72">
        <f t="shared" ca="1" si="11"/>
        <v>21</v>
      </c>
      <c r="G60" s="72" t="str">
        <f t="shared" ca="1" si="12"/>
        <v>C21:E21</v>
      </c>
    </row>
    <row r="61" spans="2:7">
      <c r="B61" s="72" t="s">
        <v>99</v>
      </c>
      <c r="C61" s="72" t="str">
        <f ca="1">CELL("address", PRELIM!C22)</f>
        <v>'[Averaging Grading Sheet.xlsm]PRELIM'!$C$22</v>
      </c>
      <c r="D61" s="72" t="str">
        <f ca="1">CELL("address", PRELIM!D22)</f>
        <v>'[Averaging Grading Sheet.xlsm]PRELIM'!$D$22</v>
      </c>
      <c r="E61" s="72" t="str">
        <f ca="1">CELL("address", PRELIM!E22)</f>
        <v>'[Averaging Grading Sheet.xlsm]PRELIM'!$E$22</v>
      </c>
      <c r="F61" s="72">
        <f t="shared" ca="1" si="11"/>
        <v>22</v>
      </c>
      <c r="G61" s="72" t="str">
        <f t="shared" ca="1" si="12"/>
        <v>C22:E22</v>
      </c>
    </row>
    <row r="62" spans="2:7">
      <c r="B62" s="72" t="s">
        <v>100</v>
      </c>
      <c r="C62" s="72" t="str">
        <f ca="1">CELL("address", PRELIM!C23)</f>
        <v>'[Averaging Grading Sheet.xlsm]PRELIM'!$C$23</v>
      </c>
      <c r="D62" s="72" t="str">
        <f ca="1">CELL("address", PRELIM!D23)</f>
        <v>'[Averaging Grading Sheet.xlsm]PRELIM'!$D$23</v>
      </c>
      <c r="E62" s="72" t="str">
        <f ca="1">CELL("address", PRELIM!E23)</f>
        <v>'[Averaging Grading Sheet.xlsm]PRELIM'!$E$23</v>
      </c>
      <c r="F62" s="72">
        <f t="shared" ca="1" si="11"/>
        <v>23</v>
      </c>
      <c r="G62" s="72" t="str">
        <f t="shared" ca="1" si="12"/>
        <v>C23:E23</v>
      </c>
    </row>
    <row r="63" spans="2:7">
      <c r="B63" s="72" t="s">
        <v>101</v>
      </c>
      <c r="C63" s="72" t="str">
        <f ca="1">CELL("address", PRELIM!C24)</f>
        <v>'[Averaging Grading Sheet.xlsm]PRELIM'!$C$24</v>
      </c>
      <c r="D63" s="72" t="str">
        <f ca="1">CELL("address", PRELIM!D24)</f>
        <v>'[Averaging Grading Sheet.xlsm]PRELIM'!$D$24</v>
      </c>
      <c r="E63" s="72" t="str">
        <f ca="1">CELL("address", PRELIM!E24)</f>
        <v>'[Averaging Grading Sheet.xlsm]PRELIM'!$E$24</v>
      </c>
      <c r="F63" s="72">
        <f t="shared" ca="1" si="11"/>
        <v>24</v>
      </c>
      <c r="G63" s="72" t="str">
        <f t="shared" ca="1" si="12"/>
        <v>C24:E24</v>
      </c>
    </row>
    <row r="64" spans="2:7">
      <c r="B64" s="72" t="s">
        <v>102</v>
      </c>
      <c r="C64" s="72" t="str">
        <f ca="1">CELL("address", PRELIM!C25)</f>
        <v>'[Averaging Grading Sheet.xlsm]PRELIM'!$C$25</v>
      </c>
      <c r="D64" s="72" t="str">
        <f ca="1">CELL("address", PRELIM!D25)</f>
        <v>'[Averaging Grading Sheet.xlsm]PRELIM'!$D$25</v>
      </c>
      <c r="E64" s="72" t="str">
        <f ca="1">CELL("address", PRELIM!E25)</f>
        <v>'[Averaging Grading Sheet.xlsm]PRELIM'!$E$25</v>
      </c>
      <c r="F64" s="72">
        <f t="shared" ca="1" si="11"/>
        <v>25</v>
      </c>
      <c r="G64" s="72" t="str">
        <f t="shared" ca="1" si="12"/>
        <v>C25:E25</v>
      </c>
    </row>
    <row r="65" spans="2:7">
      <c r="B65" s="72" t="s">
        <v>103</v>
      </c>
      <c r="C65" s="72" t="str">
        <f ca="1">CELL("address", PRELIM!C26)</f>
        <v>'[Averaging Grading Sheet.xlsm]PRELIM'!$C$26</v>
      </c>
      <c r="D65" s="72" t="str">
        <f ca="1">CELL("address", PRELIM!D26)</f>
        <v>'[Averaging Grading Sheet.xlsm]PRELIM'!$D$26</v>
      </c>
      <c r="E65" s="72" t="str">
        <f ca="1">CELL("address", PRELIM!E26)</f>
        <v>'[Averaging Grading Sheet.xlsm]PRELIM'!$E$26</v>
      </c>
      <c r="F65" s="72">
        <f t="shared" ca="1" si="11"/>
        <v>26</v>
      </c>
      <c r="G65" s="72" t="str">
        <f t="shared" ca="1" si="12"/>
        <v>C26:E26</v>
      </c>
    </row>
    <row r="66" spans="2:7">
      <c r="B66" s="72" t="s">
        <v>104</v>
      </c>
      <c r="C66" s="72" t="str">
        <f ca="1">CELL("address", PRELIM!C27)</f>
        <v>'[Averaging Grading Sheet.xlsm]PRELIM'!$C$27</v>
      </c>
      <c r="D66" s="72" t="str">
        <f ca="1">CELL("address", PRELIM!D27)</f>
        <v>'[Averaging Grading Sheet.xlsm]PRELIM'!$D$27</v>
      </c>
      <c r="E66" s="72" t="str">
        <f ca="1">CELL("address", PRELIM!E27)</f>
        <v>'[Averaging Grading Sheet.xlsm]PRELIM'!$E$27</v>
      </c>
      <c r="F66" s="72">
        <f t="shared" ca="1" si="11"/>
        <v>27</v>
      </c>
      <c r="G66" s="72" t="str">
        <f t="shared" ca="1" si="12"/>
        <v>C27:E27</v>
      </c>
    </row>
    <row r="67" spans="2:7">
      <c r="B67" s="72" t="s">
        <v>105</v>
      </c>
      <c r="C67" s="72" t="str">
        <f ca="1">CELL("address", PRELIM!C28)</f>
        <v>'[Averaging Grading Sheet.xlsm]PRELIM'!$C$28</v>
      </c>
      <c r="D67" s="72" t="str">
        <f ca="1">CELL("address", PRELIM!D28)</f>
        <v>'[Averaging Grading Sheet.xlsm]PRELIM'!$D$28</v>
      </c>
      <c r="E67" s="72" t="str">
        <f ca="1">CELL("address", PRELIM!E28)</f>
        <v>'[Averaging Grading Sheet.xlsm]PRELIM'!$E$28</v>
      </c>
      <c r="F67" s="72">
        <f t="shared" ca="1" si="11"/>
        <v>28</v>
      </c>
      <c r="G67" s="72" t="str">
        <f t="shared" ca="1" si="12"/>
        <v>C28:E28</v>
      </c>
    </row>
    <row r="68" spans="2:7">
      <c r="B68" s="72" t="s">
        <v>106</v>
      </c>
      <c r="C68" s="72" t="str">
        <f ca="1">CELL("address", PRELIM!C29)</f>
        <v>'[Averaging Grading Sheet.xlsm]PRELIM'!$C$29</v>
      </c>
      <c r="D68" s="72" t="str">
        <f ca="1">CELL("address", PRELIM!D29)</f>
        <v>'[Averaging Grading Sheet.xlsm]PRELIM'!$D$29</v>
      </c>
      <c r="E68" s="72" t="str">
        <f ca="1">CELL("address", PRELIM!E29)</f>
        <v>'[Averaging Grading Sheet.xlsm]PRELIM'!$E$29</v>
      </c>
      <c r="F68" s="72">
        <f t="shared" ca="1" si="11"/>
        <v>29</v>
      </c>
      <c r="G68" s="72" t="str">
        <f t="shared" ca="1" si="12"/>
        <v>C29:E29</v>
      </c>
    </row>
    <row r="69" spans="2:7">
      <c r="B69" s="72" t="s">
        <v>107</v>
      </c>
      <c r="C69" s="72" t="str">
        <f ca="1">CELL("address", PRELIM!C30)</f>
        <v>'[Averaging Grading Sheet.xlsm]PRELIM'!$C$30</v>
      </c>
      <c r="D69" s="72" t="str">
        <f ca="1">CELL("address", PRELIM!D30)</f>
        <v>'[Averaging Grading Sheet.xlsm]PRELIM'!$D$30</v>
      </c>
      <c r="E69" s="72" t="str">
        <f ca="1">CELL("address", PRELIM!E30)</f>
        <v>'[Averaging Grading Sheet.xlsm]PRELIM'!$E$30</v>
      </c>
      <c r="F69" s="72">
        <f t="shared" ca="1" si="11"/>
        <v>30</v>
      </c>
      <c r="G69" s="72" t="str">
        <f t="shared" ca="1" si="12"/>
        <v>C30:E30</v>
      </c>
    </row>
    <row r="70" spans="2:7">
      <c r="B70" s="72" t="s">
        <v>108</v>
      </c>
      <c r="C70" s="72" t="str">
        <f ca="1">CELL("address", PRELIM!C31)</f>
        <v>'[Averaging Grading Sheet.xlsm]PRELIM'!$C$31</v>
      </c>
      <c r="D70" s="72" t="str">
        <f ca="1">CELL("address", PRELIM!D31)</f>
        <v>'[Averaging Grading Sheet.xlsm]PRELIM'!$D$31</v>
      </c>
      <c r="E70" s="72" t="str">
        <f ca="1">CELL("address", PRELIM!E31)</f>
        <v>'[Averaging Grading Sheet.xlsm]PRELIM'!$E$31</v>
      </c>
      <c r="F70" s="72">
        <f t="shared" ca="1" si="11"/>
        <v>31</v>
      </c>
      <c r="G70" s="72" t="str">
        <f t="shared" ca="1" si="12"/>
        <v>C31:E31</v>
      </c>
    </row>
    <row r="71" spans="2:7">
      <c r="B71" s="72" t="s">
        <v>109</v>
      </c>
      <c r="C71" s="72" t="str">
        <f ca="1">CELL("address", PRELIM!C32)</f>
        <v>'[Averaging Grading Sheet.xlsm]PRELIM'!$C$32</v>
      </c>
      <c r="D71" s="72" t="str">
        <f ca="1">CELL("address", PRELIM!D32)</f>
        <v>'[Averaging Grading Sheet.xlsm]PRELIM'!$D$32</v>
      </c>
      <c r="E71" s="72" t="str">
        <f ca="1">CELL("address", PRELIM!E32)</f>
        <v>'[Averaging Grading Sheet.xlsm]PRELIM'!$E$32</v>
      </c>
      <c r="F71" s="72">
        <f t="shared" ca="1" si="11"/>
        <v>32</v>
      </c>
      <c r="G71" s="72" t="str">
        <f t="shared" ca="1" si="12"/>
        <v>C32:E32</v>
      </c>
    </row>
    <row r="72" spans="2:7">
      <c r="B72" s="72" t="s">
        <v>110</v>
      </c>
      <c r="C72" s="72" t="str">
        <f ca="1">CELL("address", PRELIM!C33)</f>
        <v>'[Averaging Grading Sheet.xlsm]PRELIM'!$C$33</v>
      </c>
      <c r="D72" s="72" t="str">
        <f ca="1">CELL("address", PRELIM!D33)</f>
        <v>'[Averaging Grading Sheet.xlsm]PRELIM'!$D$33</v>
      </c>
      <c r="E72" s="72" t="str">
        <f ca="1">CELL("address", PRELIM!E33)</f>
        <v>'[Averaging Grading Sheet.xlsm]PRELIM'!$E$33</v>
      </c>
      <c r="F72" s="72">
        <f t="shared" ca="1" si="11"/>
        <v>33</v>
      </c>
      <c r="G72" s="72" t="str">
        <f t="shared" ca="1" si="12"/>
        <v>C33:E33</v>
      </c>
    </row>
    <row r="73" spans="2:7">
      <c r="B73" s="72" t="s">
        <v>111</v>
      </c>
      <c r="C73" s="72" t="str">
        <f ca="1">CELL("address", PRELIM!C34)</f>
        <v>'[Averaging Grading Sheet.xlsm]PRELIM'!$C$34</v>
      </c>
      <c r="D73" s="72" t="str">
        <f ca="1">CELL("address", PRELIM!D34)</f>
        <v>'[Averaging Grading Sheet.xlsm]PRELIM'!$D$34</v>
      </c>
      <c r="E73" s="72" t="str">
        <f ca="1">CELL("address", PRELIM!E34)</f>
        <v>'[Averaging Grading Sheet.xlsm]PRELIM'!$E$34</v>
      </c>
      <c r="F73" s="72">
        <f t="shared" ca="1" si="11"/>
        <v>34</v>
      </c>
      <c r="G73" s="72" t="str">
        <f t="shared" ca="1" si="12"/>
        <v>C34:E34</v>
      </c>
    </row>
    <row r="74" spans="2:7">
      <c r="B74" s="72" t="s">
        <v>112</v>
      </c>
      <c r="C74" s="72" t="str">
        <f ca="1">CELL("address", PRELIM!C35)</f>
        <v>'[Averaging Grading Sheet.xlsm]PRELIM'!$C$35</v>
      </c>
      <c r="D74" s="72" t="str">
        <f ca="1">CELL("address", PRELIM!D35)</f>
        <v>'[Averaging Grading Sheet.xlsm]PRELIM'!$D$35</v>
      </c>
      <c r="E74" s="72" t="str">
        <f ca="1">CELL("address", PRELIM!E35)</f>
        <v>'[Averaging Grading Sheet.xlsm]PRELIM'!$E$35</v>
      </c>
      <c r="F74" s="72">
        <f t="shared" ca="1" si="11"/>
        <v>35</v>
      </c>
      <c r="G74" s="72" t="str">
        <f t="shared" ca="1" si="12"/>
        <v>C35:E35</v>
      </c>
    </row>
    <row r="75" spans="2:7">
      <c r="B75" s="72" t="s">
        <v>113</v>
      </c>
      <c r="C75" s="72" t="str">
        <f ca="1">CELL("address", PRELIM!C36)</f>
        <v>'[Averaging Grading Sheet.xlsm]PRELIM'!$C$36</v>
      </c>
      <c r="D75" s="72" t="str">
        <f ca="1">CELL("address", PRELIM!D36)</f>
        <v>'[Averaging Grading Sheet.xlsm]PRELIM'!$D$36</v>
      </c>
      <c r="E75" s="72" t="str">
        <f ca="1">CELL("address", PRELIM!E36)</f>
        <v>'[Averaging Grading Sheet.xlsm]PRELIM'!$E$36</v>
      </c>
      <c r="F75" s="72">
        <f t="shared" ca="1" si="11"/>
        <v>36</v>
      </c>
      <c r="G75" s="72" t="str">
        <f t="shared" ca="1" si="12"/>
        <v>C36:E36</v>
      </c>
    </row>
    <row r="76" spans="2:7">
      <c r="B76" s="72" t="s">
        <v>114</v>
      </c>
      <c r="C76" s="72" t="str">
        <f ca="1">CELL("address", PRELIM!C37)</f>
        <v>'[Averaging Grading Sheet.xlsm]PRELIM'!$C$37</v>
      </c>
      <c r="D76" s="72" t="str">
        <f ca="1">CELL("address", PRELIM!D37)</f>
        <v>'[Averaging Grading Sheet.xlsm]PRELIM'!$D$37</v>
      </c>
      <c r="E76" s="72" t="str">
        <f ca="1">CELL("address", PRELIM!E37)</f>
        <v>'[Averaging Grading Sheet.xlsm]PRELIM'!$E$37</v>
      </c>
      <c r="F76" s="72">
        <f t="shared" ca="1" si="11"/>
        <v>37</v>
      </c>
      <c r="G76" s="72" t="str">
        <f t="shared" ca="1" si="12"/>
        <v>C37:E37</v>
      </c>
    </row>
    <row r="77" spans="2:7">
      <c r="B77" s="72" t="s">
        <v>115</v>
      </c>
      <c r="C77" s="72" t="str">
        <f ca="1">CELL("address", PRELIM!C38)</f>
        <v>'[Averaging Grading Sheet.xlsm]PRELIM'!$C$38</v>
      </c>
      <c r="D77" s="72" t="str">
        <f ca="1">CELL("address", PRELIM!D38)</f>
        <v>'[Averaging Grading Sheet.xlsm]PRELIM'!$D$38</v>
      </c>
      <c r="E77" s="72" t="str">
        <f ca="1">CELL("address", PRELIM!E38)</f>
        <v>'[Averaging Grading Sheet.xlsm]PRELIM'!$E$38</v>
      </c>
      <c r="F77" s="72">
        <f t="shared" ca="1" si="11"/>
        <v>38</v>
      </c>
      <c r="G77" s="72" t="str">
        <f t="shared" ca="1" si="12"/>
        <v>C38:E38</v>
      </c>
    </row>
    <row r="78" spans="2:7">
      <c r="B78" s="72" t="s">
        <v>116</v>
      </c>
      <c r="C78" s="72" t="str">
        <f ca="1">CELL("address", PRELIM!C39)</f>
        <v>'[Averaging Grading Sheet.xlsm]PRELIM'!$C$39</v>
      </c>
      <c r="D78" s="72" t="str">
        <f ca="1">CELL("address", PRELIM!D39)</f>
        <v>'[Averaging Grading Sheet.xlsm]PRELIM'!$D$39</v>
      </c>
      <c r="E78" s="72" t="str">
        <f ca="1">CELL("address", PRELIM!E39)</f>
        <v>'[Averaging Grading Sheet.xlsm]PRELIM'!$E$39</v>
      </c>
      <c r="F78" s="72">
        <f t="shared" ca="1" si="11"/>
        <v>39</v>
      </c>
      <c r="G78" s="72" t="str">
        <f t="shared" ca="1" si="12"/>
        <v>C39:E39</v>
      </c>
    </row>
    <row r="79" spans="2:7">
      <c r="B79" s="72" t="s">
        <v>117</v>
      </c>
      <c r="C79" s="72" t="str">
        <f ca="1">CELL("address", PRELIM!C40)</f>
        <v>'[Averaging Grading Sheet.xlsm]PRELIM'!$C$40</v>
      </c>
      <c r="D79" s="72" t="str">
        <f ca="1">CELL("address", PRELIM!D40)</f>
        <v>'[Averaging Grading Sheet.xlsm]PRELIM'!$D$40</v>
      </c>
      <c r="E79" s="72" t="str">
        <f ca="1">CELL("address", PRELIM!E40)</f>
        <v>'[Averaging Grading Sheet.xlsm]PRELIM'!$E$40</v>
      </c>
      <c r="F79" s="72">
        <f t="shared" ca="1" si="11"/>
        <v>40</v>
      </c>
      <c r="G79" s="72" t="str">
        <f t="shared" ca="1" si="12"/>
        <v>C40:E40</v>
      </c>
    </row>
    <row r="80" spans="2:7">
      <c r="B80" s="72" t="s">
        <v>118</v>
      </c>
      <c r="C80" s="72" t="str">
        <f ca="1">CELL("address", PRELIM!C41)</f>
        <v>'[Averaging Grading Sheet.xlsm]PRELIM'!$C$41</v>
      </c>
      <c r="D80" s="72" t="str">
        <f ca="1">CELL("address", PRELIM!D41)</f>
        <v>'[Averaging Grading Sheet.xlsm]PRELIM'!$D$41</v>
      </c>
      <c r="E80" s="72" t="str">
        <f ca="1">CELL("address", PRELIM!E41)</f>
        <v>'[Averaging Grading Sheet.xlsm]PRELIM'!$E$41</v>
      </c>
      <c r="F80" s="72">
        <f t="shared" ca="1" si="11"/>
        <v>41</v>
      </c>
      <c r="G80" s="72" t="str">
        <f t="shared" ca="1" si="12"/>
        <v>C41:E41</v>
      </c>
    </row>
    <row r="81" spans="2:7">
      <c r="B81" s="72" t="s">
        <v>119</v>
      </c>
      <c r="C81" s="72" t="str">
        <f ca="1">CELL("address", PRELIM!C42)</f>
        <v>'[Averaging Grading Sheet.xlsm]PRELIM'!$C$42</v>
      </c>
      <c r="D81" s="72" t="str">
        <f ca="1">CELL("address", PRELIM!D42)</f>
        <v>'[Averaging Grading Sheet.xlsm]PRELIM'!$D$42</v>
      </c>
      <c r="E81" s="72" t="str">
        <f ca="1">CELL("address", PRELIM!E42)</f>
        <v>'[Averaging Grading Sheet.xlsm]PRELIM'!$E$42</v>
      </c>
      <c r="F81" s="72">
        <f t="shared" ca="1" si="11"/>
        <v>42</v>
      </c>
      <c r="G81" s="72" t="str">
        <f t="shared" ca="1" si="12"/>
        <v>C42:E42</v>
      </c>
    </row>
    <row r="82" spans="2:7">
      <c r="B82" s="72" t="s">
        <v>120</v>
      </c>
      <c r="C82" s="72" t="str">
        <f ca="1">CELL("address", PRELIM!C43)</f>
        <v>'[Averaging Grading Sheet.xlsm]PRELIM'!$C$43</v>
      </c>
      <c r="D82" s="72" t="str">
        <f ca="1">CELL("address", PRELIM!D43)</f>
        <v>'[Averaging Grading Sheet.xlsm]PRELIM'!$D$43</v>
      </c>
      <c r="E82" s="72" t="str">
        <f ca="1">CELL("address", PRELIM!E43)</f>
        <v>'[Averaging Grading Sheet.xlsm]PRELIM'!$E$43</v>
      </c>
      <c r="F82" s="72">
        <f t="shared" ca="1" si="11"/>
        <v>43</v>
      </c>
      <c r="G82" s="72" t="str">
        <f t="shared" ca="1" si="12"/>
        <v>C43:E43</v>
      </c>
    </row>
    <row r="83" spans="2:7">
      <c r="B83" s="72" t="s">
        <v>121</v>
      </c>
      <c r="C83" s="72" t="str">
        <f ca="1">CELL("address", PRELIM!C44)</f>
        <v>'[Averaging Grading Sheet.xlsm]PRELIM'!$C$44</v>
      </c>
      <c r="D83" s="72" t="str">
        <f ca="1">CELL("address", PRELIM!D44)</f>
        <v>'[Averaging Grading Sheet.xlsm]PRELIM'!$D$44</v>
      </c>
      <c r="E83" s="72" t="str">
        <f ca="1">CELL("address", PRELIM!E44)</f>
        <v>'[Averaging Grading Sheet.xlsm]PRELIM'!$E$44</v>
      </c>
      <c r="F83" s="72">
        <f t="shared" ca="1" si="11"/>
        <v>44</v>
      </c>
      <c r="G83" s="72" t="str">
        <f t="shared" ca="1" si="12"/>
        <v>C44:E44</v>
      </c>
    </row>
    <row r="84" spans="2:7">
      <c r="B84" s="72" t="s">
        <v>122</v>
      </c>
      <c r="C84" s="72" t="str">
        <f ca="1">CELL("address", PRELIM!C45)</f>
        <v>'[Averaging Grading Sheet.xlsm]PRELIM'!$C$45</v>
      </c>
      <c r="D84" s="72" t="str">
        <f ca="1">CELL("address", PRELIM!D45)</f>
        <v>'[Averaging Grading Sheet.xlsm]PRELIM'!$D$45</v>
      </c>
      <c r="E84" s="72" t="str">
        <f ca="1">CELL("address", PRELIM!E45)</f>
        <v>'[Averaging Grading Sheet.xlsm]PRELIM'!$E$45</v>
      </c>
      <c r="F84" s="72">
        <f t="shared" ca="1" si="11"/>
        <v>45</v>
      </c>
      <c r="G84" s="72" t="str">
        <f t="shared" ca="1" si="12"/>
        <v>C45:E45</v>
      </c>
    </row>
    <row r="85" spans="2:7">
      <c r="B85" s="72" t="s">
        <v>123</v>
      </c>
      <c r="C85" s="72" t="str">
        <f ca="1">CELL("address", PRELIM!C46)</f>
        <v>'[Averaging Grading Sheet.xlsm]PRELIM'!$C$46</v>
      </c>
      <c r="D85" s="72" t="str">
        <f ca="1">CELL("address", PRELIM!D46)</f>
        <v>'[Averaging Grading Sheet.xlsm]PRELIM'!$D$46</v>
      </c>
      <c r="E85" s="72" t="str">
        <f ca="1">CELL("address", PRELIM!E46)</f>
        <v>'[Averaging Grading Sheet.xlsm]PRELIM'!$E$46</v>
      </c>
      <c r="F85" s="72">
        <f t="shared" ca="1" si="11"/>
        <v>46</v>
      </c>
      <c r="G85" s="72" t="str">
        <f t="shared" ca="1" si="12"/>
        <v>C46:E46</v>
      </c>
    </row>
    <row r="86" spans="2:7">
      <c r="B86" s="72" t="s">
        <v>124</v>
      </c>
      <c r="C86" s="72" t="str">
        <f ca="1">CELL("address", PRELIM!C47)</f>
        <v>'[Averaging Grading Sheet.xlsm]PRELIM'!$C$47</v>
      </c>
      <c r="D86" s="72" t="str">
        <f ca="1">CELL("address", PRELIM!D47)</f>
        <v>'[Averaging Grading Sheet.xlsm]PRELIM'!$D$47</v>
      </c>
      <c r="E86" s="72" t="str">
        <f ca="1">CELL("address", PRELIM!E47)</f>
        <v>'[Averaging Grading Sheet.xlsm]PRELIM'!$E$47</v>
      </c>
      <c r="F86" s="72">
        <f t="shared" ca="1" si="11"/>
        <v>47</v>
      </c>
      <c r="G86" s="72" t="str">
        <f t="shared" ca="1" si="12"/>
        <v>C47:E47</v>
      </c>
    </row>
    <row r="87" spans="2:7">
      <c r="B87" s="72" t="s">
        <v>125</v>
      </c>
      <c r="C87" s="72" t="str">
        <f ca="1">CELL("address", PRELIM!C48)</f>
        <v>'[Averaging Grading Sheet.xlsm]PRELIM'!$C$48</v>
      </c>
      <c r="D87" s="72" t="str">
        <f ca="1">CELL("address", PRELIM!D48)</f>
        <v>'[Averaging Grading Sheet.xlsm]PRELIM'!$D$48</v>
      </c>
      <c r="E87" s="72" t="str">
        <f ca="1">CELL("address", PRELIM!E48)</f>
        <v>'[Averaging Grading Sheet.xlsm]PRELIM'!$E$48</v>
      </c>
      <c r="F87" s="72">
        <f t="shared" ca="1" si="11"/>
        <v>48</v>
      </c>
      <c r="G87" s="72" t="str">
        <f t="shared" ca="1" si="12"/>
        <v>C48:E48</v>
      </c>
    </row>
    <row r="88" spans="2:7">
      <c r="B88" s="72" t="s">
        <v>126</v>
      </c>
      <c r="C88" s="72" t="str">
        <f ca="1">CELL("address", PRELIM!C49)</f>
        <v>'[Averaging Grading Sheet.xlsm]PRELIM'!$C$49</v>
      </c>
      <c r="D88" s="72" t="str">
        <f ca="1">CELL("address", PRELIM!D49)</f>
        <v>'[Averaging Grading Sheet.xlsm]PRELIM'!$D$49</v>
      </c>
      <c r="E88" s="72" t="str">
        <f ca="1">CELL("address", PRELIM!E49)</f>
        <v>'[Averaging Grading Sheet.xlsm]PRELIM'!$E$49</v>
      </c>
      <c r="F88" s="72">
        <f t="shared" ca="1" si="11"/>
        <v>49</v>
      </c>
      <c r="G88" s="72" t="str">
        <f t="shared" ca="1" si="12"/>
        <v>C49:E49</v>
      </c>
    </row>
    <row r="89" spans="2:7">
      <c r="B89" s="72" t="s">
        <v>127</v>
      </c>
      <c r="C89" s="72" t="str">
        <f ca="1">CELL("address", PRELIM!C50)</f>
        <v>'[Averaging Grading Sheet.xlsm]PRELIM'!$C$50</v>
      </c>
      <c r="D89" s="72" t="str">
        <f ca="1">CELL("address", PRELIM!D50)</f>
        <v>'[Averaging Grading Sheet.xlsm]PRELIM'!$D$50</v>
      </c>
      <c r="E89" s="72" t="str">
        <f ca="1">CELL("address", PRELIM!E50)</f>
        <v>'[Averaging Grading Sheet.xlsm]PRELIM'!$E$50</v>
      </c>
      <c r="F89" s="72">
        <f t="shared" ca="1" si="11"/>
        <v>50</v>
      </c>
      <c r="G89" s="72" t="str">
        <f t="shared" ca="1" si="12"/>
        <v>C50:E50</v>
      </c>
    </row>
    <row r="90" spans="2:7">
      <c r="B90" s="72" t="s">
        <v>128</v>
      </c>
      <c r="C90" s="72" t="str">
        <f ca="1">CELL("address", PRELIM!C51)</f>
        <v>'[Averaging Grading Sheet.xlsm]PRELIM'!$C$51</v>
      </c>
      <c r="D90" s="72" t="str">
        <f ca="1">CELL("address", PRELIM!D51)</f>
        <v>'[Averaging Grading Sheet.xlsm]PRELIM'!$D$51</v>
      </c>
      <c r="E90" s="72" t="str">
        <f ca="1">CELL("address", PRELIM!E51)</f>
        <v>'[Averaging Grading Sheet.xlsm]PRELIM'!$E$51</v>
      </c>
      <c r="F90" s="72">
        <f t="shared" ca="1" si="11"/>
        <v>51</v>
      </c>
      <c r="G90" s="72" t="str">
        <f t="shared" ca="1" si="12"/>
        <v>C51:E51</v>
      </c>
    </row>
    <row r="91" spans="2:7">
      <c r="B91" s="72" t="s">
        <v>129</v>
      </c>
      <c r="C91" s="72" t="str">
        <f ca="1">CELL("address", PRELIM!C52)</f>
        <v>'[Averaging Grading Sheet.xlsm]PRELIM'!$C$52</v>
      </c>
      <c r="D91" s="72" t="str">
        <f ca="1">CELL("address", PRELIM!D52)</f>
        <v>'[Averaging Grading Sheet.xlsm]PRELIM'!$D$52</v>
      </c>
      <c r="E91" s="72" t="str">
        <f ca="1">CELL("address", PRELIM!E52)</f>
        <v>'[Averaging Grading Sheet.xlsm]PRELIM'!$E$52</v>
      </c>
      <c r="F91" s="72">
        <f t="shared" ca="1" si="11"/>
        <v>52</v>
      </c>
      <c r="G91" s="72" t="str">
        <f t="shared" ca="1" si="12"/>
        <v>C52:E52</v>
      </c>
    </row>
    <row r="92" spans="2:7">
      <c r="B92" s="72" t="s">
        <v>130</v>
      </c>
      <c r="C92" s="72" t="str">
        <f ca="1">CELL("address", PRELIM!C53)</f>
        <v>'[Averaging Grading Sheet.xlsm]PRELIM'!$C$53</v>
      </c>
      <c r="D92" s="72" t="str">
        <f ca="1">CELL("address", PRELIM!D53)</f>
        <v>'[Averaging Grading Sheet.xlsm]PRELIM'!$D$53</v>
      </c>
      <c r="E92" s="72" t="str">
        <f ca="1">CELL("address", PRELIM!E53)</f>
        <v>'[Averaging Grading Sheet.xlsm]PRELIM'!$E$53</v>
      </c>
      <c r="F92" s="72">
        <f t="shared" ca="1" si="11"/>
        <v>53</v>
      </c>
      <c r="G92" s="72" t="str">
        <f t="shared" ca="1" si="12"/>
        <v>C53:E53</v>
      </c>
    </row>
    <row r="93" spans="2:7">
      <c r="B93" s="72" t="s">
        <v>131</v>
      </c>
      <c r="C93" s="72" t="str">
        <f ca="1">CELL("address", PRELIM!C54)</f>
        <v>'[Averaging Grading Sheet.xlsm]PRELIM'!$C$54</v>
      </c>
      <c r="D93" s="72" t="str">
        <f ca="1">CELL("address", PRELIM!D54)</f>
        <v>'[Averaging Grading Sheet.xlsm]PRELIM'!$D$54</v>
      </c>
      <c r="E93" s="72" t="str">
        <f ca="1">CELL("address", PRELIM!E54)</f>
        <v>'[Averaging Grading Sheet.xlsm]PRELIM'!$E$54</v>
      </c>
      <c r="F93" s="72">
        <f t="shared" ca="1" si="11"/>
        <v>54</v>
      </c>
      <c r="G93" s="72" t="str">
        <f t="shared" ca="1" si="12"/>
        <v>C54:E54</v>
      </c>
    </row>
    <row r="94" spans="2:7">
      <c r="B94" s="72" t="s">
        <v>132</v>
      </c>
      <c r="C94" s="72" t="str">
        <f ca="1">CELL("address", PRELIM!C55)</f>
        <v>'[Averaging Grading Sheet.xlsm]PRELIM'!$C$55</v>
      </c>
      <c r="D94" s="72" t="str">
        <f ca="1">CELL("address", PRELIM!D55)</f>
        <v>'[Averaging Grading Sheet.xlsm]PRELIM'!$D$55</v>
      </c>
      <c r="E94" s="72" t="str">
        <f ca="1">CELL("address", PRELIM!E55)</f>
        <v>'[Averaging Grading Sheet.xlsm]PRELIM'!$E$55</v>
      </c>
      <c r="F94" s="72">
        <f t="shared" ca="1" si="11"/>
        <v>55</v>
      </c>
      <c r="G94" s="72" t="str">
        <f t="shared" ca="1" si="12"/>
        <v>C55:E55</v>
      </c>
    </row>
    <row r="95" spans="2:7">
      <c r="B95" s="72" t="s">
        <v>133</v>
      </c>
      <c r="C95" s="72" t="str">
        <f ca="1">CELL("address", PRELIM!C56)</f>
        <v>'[Averaging Grading Sheet.xlsm]PRELIM'!$C$56</v>
      </c>
      <c r="D95" s="72" t="str">
        <f ca="1">CELL("address", PRELIM!D56)</f>
        <v>'[Averaging Grading Sheet.xlsm]PRELIM'!$D$56</v>
      </c>
      <c r="E95" s="72" t="str">
        <f ca="1">CELL("address", PRELIM!E56)</f>
        <v>'[Averaging Grading Sheet.xlsm]PRELIM'!$E$56</v>
      </c>
      <c r="F95" s="72">
        <f t="shared" ca="1" si="11"/>
        <v>56</v>
      </c>
      <c r="G95" s="72" t="str">
        <f t="shared" ca="1" si="12"/>
        <v>C56:E56</v>
      </c>
    </row>
    <row r="96" spans="2:7">
      <c r="B96" s="72" t="s">
        <v>134</v>
      </c>
      <c r="C96" s="72" t="str">
        <f ca="1">CELL("address", PRELIM!C57)</f>
        <v>'[Averaging Grading Sheet.xlsm]PRELIM'!$C$57</v>
      </c>
      <c r="D96" s="72" t="str">
        <f ca="1">CELL("address", PRELIM!D57)</f>
        <v>'[Averaging Grading Sheet.xlsm]PRELIM'!$D$57</v>
      </c>
      <c r="E96" s="72" t="str">
        <f ca="1">CELL("address", PRELIM!E57)</f>
        <v>'[Averaging Grading Sheet.xlsm]PRELIM'!$E$57</v>
      </c>
      <c r="F96" s="72">
        <f t="shared" ca="1" si="11"/>
        <v>57</v>
      </c>
      <c r="G96" s="72" t="str">
        <f t="shared" ca="1" si="12"/>
        <v>C57:E57</v>
      </c>
    </row>
    <row r="97" spans="2:7">
      <c r="B97" s="72" t="s">
        <v>135</v>
      </c>
      <c r="C97" s="72" t="str">
        <f ca="1">CELL("address", PRELIM!C58)</f>
        <v>'[Averaging Grading Sheet.xlsm]PRELIM'!$C$58</v>
      </c>
      <c r="D97" s="72" t="str">
        <f ca="1">CELL("address", PRELIM!D58)</f>
        <v>'[Averaging Grading Sheet.xlsm]PRELIM'!$D$58</v>
      </c>
      <c r="E97" s="72" t="str">
        <f ca="1">CELL("address", PRELIM!E58)</f>
        <v>'[Averaging Grading Sheet.xlsm]PRELIM'!$E$58</v>
      </c>
      <c r="F97" s="72">
        <f t="shared" ca="1" si="11"/>
        <v>58</v>
      </c>
      <c r="G97" s="72" t="str">
        <f t="shared" ca="1" si="12"/>
        <v>C58:E58</v>
      </c>
    </row>
    <row r="98" spans="2:7">
      <c r="B98" s="72" t="s">
        <v>136</v>
      </c>
      <c r="C98" s="72" t="str">
        <f ca="1">CELL("address", PRELIM!C59)</f>
        <v>'[Averaging Grading Sheet.xlsm]PRELIM'!$C$59</v>
      </c>
      <c r="D98" s="72" t="str">
        <f ca="1">CELL("address", PRELIM!D59)</f>
        <v>'[Averaging Grading Sheet.xlsm]PRELIM'!$D$59</v>
      </c>
      <c r="E98" s="72" t="str">
        <f ca="1">CELL("address", PRELIM!E59)</f>
        <v>'[Averaging Grading Sheet.xlsm]PRELIM'!$E$59</v>
      </c>
      <c r="F98" s="72">
        <f t="shared" ca="1" si="11"/>
        <v>59</v>
      </c>
      <c r="G98" s="72" t="str">
        <f t="shared" ca="1" si="12"/>
        <v>C59:E59</v>
      </c>
    </row>
    <row r="99" spans="2:7">
      <c r="B99" s="72" t="s">
        <v>137</v>
      </c>
      <c r="C99" s="72" t="str">
        <f ca="1">CELL("address", PRELIM!C60)</f>
        <v>'[Averaging Grading Sheet.xlsm]PRELIM'!$C$60</v>
      </c>
      <c r="D99" s="72" t="str">
        <f ca="1">CELL("address", PRELIM!D60)</f>
        <v>'[Averaging Grading Sheet.xlsm]PRELIM'!$D$60</v>
      </c>
      <c r="E99" s="72" t="str">
        <f ca="1">CELL("address", PRELIM!E60)</f>
        <v>'[Averaging Grading Sheet.xlsm]PRELIM'!$E$60</v>
      </c>
      <c r="F99" s="72">
        <f t="shared" ca="1" si="11"/>
        <v>60</v>
      </c>
      <c r="G99" s="72" t="str">
        <f t="shared" ca="1" si="12"/>
        <v>C60:E60</v>
      </c>
    </row>
    <row r="100" spans="2:7">
      <c r="B100" s="72" t="s">
        <v>138</v>
      </c>
      <c r="C100" s="72" t="str">
        <f ca="1">CELL("address", PRELIM!C61)</f>
        <v>'[Averaging Grading Sheet.xlsm]PRELIM'!$C$61</v>
      </c>
      <c r="D100" s="72" t="str">
        <f ca="1">CELL("address", PRELIM!D61)</f>
        <v>'[Averaging Grading Sheet.xlsm]PRELIM'!$D$61</v>
      </c>
      <c r="E100" s="72" t="str">
        <f ca="1">CELL("address", PRELIM!E61)</f>
        <v>'[Averaging Grading Sheet.xlsm]PRELIM'!$E$61</v>
      </c>
      <c r="F100" s="72">
        <f t="shared" ca="1" si="11"/>
        <v>61</v>
      </c>
      <c r="G100" s="72" t="str">
        <f t="shared" ca="1" si="12"/>
        <v>C61:E61</v>
      </c>
    </row>
    <row r="101" spans="2:7">
      <c r="B101" s="72" t="s">
        <v>139</v>
      </c>
      <c r="C101" s="72" t="str">
        <f ca="1">CELL("address", PRELIM!C62)</f>
        <v>'[Averaging Grading Sheet.xlsm]PRELIM'!$C$62</v>
      </c>
      <c r="D101" s="72" t="str">
        <f ca="1">CELL("address", PRELIM!D62)</f>
        <v>'[Averaging Grading Sheet.xlsm]PRELIM'!$D$62</v>
      </c>
      <c r="E101" s="72" t="str">
        <f ca="1">CELL("address", PRELIM!E62)</f>
        <v>'[Averaging Grading Sheet.xlsm]PRELIM'!$E$62</v>
      </c>
      <c r="F101" s="72">
        <f t="shared" ca="1" si="11"/>
        <v>62</v>
      </c>
      <c r="G101" s="72" t="str">
        <f t="shared" ca="1" si="12"/>
        <v>C62:E62</v>
      </c>
    </row>
    <row r="102" spans="2:7">
      <c r="B102" s="72" t="s">
        <v>140</v>
      </c>
      <c r="C102" s="72" t="str">
        <f ca="1">CELL("address", PRELIM!C63)</f>
        <v>'[Averaging Grading Sheet.xlsm]PRELIM'!$C$63</v>
      </c>
      <c r="D102" s="72" t="str">
        <f ca="1">CELL("address", PRELIM!D63)</f>
        <v>'[Averaging Grading Sheet.xlsm]PRELIM'!$D$63</v>
      </c>
      <c r="E102" s="72" t="str">
        <f ca="1">CELL("address", PRELIM!E63)</f>
        <v>'[Averaging Grading Sheet.xlsm]PRELIM'!$E$63</v>
      </c>
      <c r="F102" s="72">
        <f t="shared" ca="1" si="11"/>
        <v>63</v>
      </c>
      <c r="G102" s="72" t="str">
        <f t="shared" ca="1" si="12"/>
        <v>C63:E63</v>
      </c>
    </row>
    <row r="103" spans="2:7">
      <c r="B103" s="72" t="s">
        <v>141</v>
      </c>
      <c r="C103" s="72" t="str">
        <f ca="1">CELL("address", PRELIM!C64)</f>
        <v>'[Averaging Grading Sheet.xlsm]PRELIM'!$C$64</v>
      </c>
      <c r="D103" s="72" t="str">
        <f ca="1">CELL("address", PRELIM!D64)</f>
        <v>'[Averaging Grading Sheet.xlsm]PRELIM'!$D$64</v>
      </c>
      <c r="E103" s="72" t="str">
        <f ca="1">CELL("address", PRELIM!E64)</f>
        <v>'[Averaging Grading Sheet.xlsm]PRELIM'!$E$64</v>
      </c>
      <c r="F103" s="72">
        <f t="shared" ca="1" si="11"/>
        <v>64</v>
      </c>
      <c r="G103" s="72" t="str">
        <f t="shared" ca="1" si="12"/>
        <v>C64:E64</v>
      </c>
    </row>
    <row r="104" spans="2:7">
      <c r="B104" s="72" t="s">
        <v>142</v>
      </c>
      <c r="C104" s="72" t="str">
        <f ca="1">CELL("address", PRELIM!C65)</f>
        <v>'[Averaging Grading Sheet.xlsm]PRELIM'!$C$65</v>
      </c>
      <c r="D104" s="72" t="str">
        <f ca="1">CELL("address", PRELIM!D65)</f>
        <v>'[Averaging Grading Sheet.xlsm]PRELIM'!$D$65</v>
      </c>
      <c r="E104" s="72" t="str">
        <f ca="1">CELL("address", PRELIM!E65)</f>
        <v>'[Averaging Grading Sheet.xlsm]PRELIM'!$E$65</v>
      </c>
      <c r="F104" s="72">
        <f t="shared" ca="1" si="11"/>
        <v>65</v>
      </c>
      <c r="G104" s="72" t="str">
        <f t="shared" ca="1" si="12"/>
        <v>C65:E65</v>
      </c>
    </row>
    <row r="105" spans="2:7">
      <c r="B105" s="72" t="s">
        <v>143</v>
      </c>
      <c r="C105" s="72" t="str">
        <f ca="1">CELL("address", PRELIM!C66)</f>
        <v>'[Averaging Grading Sheet.xlsm]PRELIM'!$C$66</v>
      </c>
      <c r="D105" s="72" t="str">
        <f ca="1">CELL("address", PRELIM!D66)</f>
        <v>'[Averaging Grading Sheet.xlsm]PRELIM'!$D$66</v>
      </c>
      <c r="E105" s="72" t="str">
        <f ca="1">CELL("address", PRELIM!E66)</f>
        <v>'[Averaging Grading Sheet.xlsm]PRELIM'!$E$66</v>
      </c>
      <c r="F105" s="72">
        <f t="shared" ca="1" si="11"/>
        <v>66</v>
      </c>
      <c r="G105" s="72" t="str">
        <f t="shared" ca="1" si="12"/>
        <v>C66:E66</v>
      </c>
    </row>
    <row r="106" spans="2:7">
      <c r="B106" s="72" t="s">
        <v>144</v>
      </c>
      <c r="C106" s="72" t="str">
        <f ca="1">CELL("address", PRELIM!C67)</f>
        <v>'[Averaging Grading Sheet.xlsm]PRELIM'!$C$67</v>
      </c>
      <c r="D106" s="72" t="str">
        <f ca="1">CELL("address", PRELIM!D67)</f>
        <v>'[Averaging Grading Sheet.xlsm]PRELIM'!$D$67</v>
      </c>
      <c r="E106" s="72" t="str">
        <f ca="1">CELL("address", PRELIM!E67)</f>
        <v>'[Averaging Grading Sheet.xlsm]PRELIM'!$E$67</v>
      </c>
      <c r="F106" s="72">
        <f t="shared" ca="1" si="11"/>
        <v>67</v>
      </c>
      <c r="G106" s="72" t="str">
        <f t="shared" ca="1" si="12"/>
        <v>C67:E67</v>
      </c>
    </row>
    <row r="107" spans="2:7">
      <c r="B107" s="72" t="s">
        <v>145</v>
      </c>
      <c r="C107" s="72" t="str">
        <f ca="1">CELL("address", PRELIM!C68)</f>
        <v>'[Averaging Grading Sheet.xlsm]PRELIM'!$C$68</v>
      </c>
      <c r="D107" s="72" t="str">
        <f ca="1">CELL("address", PRELIM!D68)</f>
        <v>'[Averaging Grading Sheet.xlsm]PRELIM'!$D$68</v>
      </c>
      <c r="E107" s="72" t="str">
        <f ca="1">CELL("address", PRELIM!E68)</f>
        <v>'[Averaging Grading Sheet.xlsm]PRELIM'!$E$68</v>
      </c>
      <c r="F107" s="72">
        <f t="shared" ca="1" si="11"/>
        <v>68</v>
      </c>
      <c r="G107" s="72" t="str">
        <f t="shared" ca="1" si="12"/>
        <v>C68:E68</v>
      </c>
    </row>
    <row r="108" spans="2:7">
      <c r="B108" s="72" t="s">
        <v>146</v>
      </c>
      <c r="C108" s="72" t="str">
        <f ca="1">CELL("address", PRELIM!C69)</f>
        <v>'[Averaging Grading Sheet.xlsm]PRELIM'!$C$69</v>
      </c>
      <c r="D108" s="72" t="str">
        <f ca="1">CELL("address", PRELIM!D69)</f>
        <v>'[Averaging Grading Sheet.xlsm]PRELIM'!$D$69</v>
      </c>
      <c r="E108" s="72" t="str">
        <f ca="1">CELL("address", PRELIM!E69)</f>
        <v>'[Averaging Grading Sheet.xlsm]PRELIM'!$E$69</v>
      </c>
      <c r="F108" s="72">
        <f t="shared" ca="1" si="11"/>
        <v>69</v>
      </c>
      <c r="G108" s="72" t="str">
        <f t="shared" ca="1" si="12"/>
        <v>C69:E69</v>
      </c>
    </row>
    <row r="109" spans="2:7">
      <c r="B109" s="72" t="s">
        <v>147</v>
      </c>
      <c r="C109" s="72" t="str">
        <f ca="1">CELL("address", PRELIM!C70)</f>
        <v>'[Averaging Grading Sheet.xlsm]PRELIM'!$C$70</v>
      </c>
      <c r="D109" s="72" t="str">
        <f ca="1">CELL("address", PRELIM!D70)</f>
        <v>'[Averaging Grading Sheet.xlsm]PRELIM'!$D$70</v>
      </c>
      <c r="E109" s="72" t="str">
        <f ca="1">CELL("address", PRELIM!E70)</f>
        <v>'[Averaging Grading Sheet.xlsm]PRELIM'!$E$70</v>
      </c>
      <c r="F109" s="72">
        <f t="shared" ca="1" si="11"/>
        <v>70</v>
      </c>
      <c r="G109" s="72" t="str">
        <f t="shared" ca="1" si="12"/>
        <v>C70:E70</v>
      </c>
    </row>
    <row r="110" spans="2:7">
      <c r="B110" s="72" t="s">
        <v>148</v>
      </c>
      <c r="C110" s="72" t="str">
        <f ca="1">CELL("address", PRELIM!C71)</f>
        <v>'[Averaging Grading Sheet.xlsm]PRELIM'!$C$71</v>
      </c>
      <c r="D110" s="72" t="str">
        <f ca="1">CELL("address", PRELIM!D71)</f>
        <v>'[Averaging Grading Sheet.xlsm]PRELIM'!$D$71</v>
      </c>
      <c r="E110" s="72" t="str">
        <f ca="1">CELL("address", PRELIM!E71)</f>
        <v>'[Averaging Grading Sheet.xlsm]PRELIM'!$E$71</v>
      </c>
      <c r="F110" s="72">
        <f t="shared" ca="1" si="11"/>
        <v>71</v>
      </c>
      <c r="G110" s="72" t="str">
        <f t="shared" ca="1" si="12"/>
        <v>C71:E71</v>
      </c>
    </row>
    <row r="112" spans="2:7">
      <c r="B112" s="72" t="s">
        <v>93</v>
      </c>
      <c r="C112" s="72" t="str">
        <f ca="1">CELL("address", PRELIM!B72)</f>
        <v>'[Averaging Grading Sheet.xlsm]PRELIM'!$B$72</v>
      </c>
      <c r="D112" s="72">
        <f ca="1">ROW(INDIRECT(C112))</f>
        <v>72</v>
      </c>
    </row>
    <row r="113" spans="3:4">
      <c r="C113" s="72" t="str">
        <f ca="1">CELL("address", PRELIM!E77)</f>
        <v>'[Averaging Grading Sheet.xlsm]PRELIM'!$E$77</v>
      </c>
      <c r="D113" s="72">
        <f ca="1">ROW(INDIRECT(C113))</f>
        <v>77</v>
      </c>
    </row>
    <row r="114" spans="3:4">
      <c r="D114" s="72" t="str">
        <f ca="1">CONCATENATE(D112,":",D113)</f>
        <v>72:77</v>
      </c>
    </row>
  </sheetData>
  <phoneticPr fontId="3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DFC4-A1C1-449D-87C3-396C86067DE8}">
  <sheetPr codeName="Sheet2"/>
  <dimension ref="A2:BP84"/>
  <sheetViews>
    <sheetView workbookViewId="0">
      <pane xSplit="6" ySplit="7" topLeftCell="G50" activePane="bottomRight" state="frozen"/>
      <selection pane="topRight" activeCell="G1" sqref="G1"/>
      <selection pane="bottomLeft" activeCell="A8" sqref="A8"/>
      <selection pane="bottomRight" activeCell="H73" sqref="H73"/>
    </sheetView>
  </sheetViews>
  <sheetFormatPr defaultColWidth="9.109375" defaultRowHeight="13.8"/>
  <cols>
    <col min="1" max="1" width="4.6640625" style="23" customWidth="1"/>
    <col min="2" max="2" width="5" style="23" bestFit="1" customWidth="1"/>
    <col min="3" max="3" width="18.33203125" style="23" bestFit="1" customWidth="1"/>
    <col min="4" max="4" width="14.44140625" style="23" bestFit="1" customWidth="1"/>
    <col min="5" max="5" width="13.109375" style="23" bestFit="1" customWidth="1"/>
    <col min="6" max="6" width="14.88671875" style="23" bestFit="1" customWidth="1"/>
    <col min="7" max="66" width="8.77734375" style="23" customWidth="1"/>
    <col min="67" max="16384" width="9.109375" style="23"/>
  </cols>
  <sheetData>
    <row r="2" spans="1:68" ht="14.4" thickBot="1">
      <c r="A2" s="19"/>
      <c r="B2" s="158" t="s">
        <v>32</v>
      </c>
      <c r="C2" s="158"/>
      <c r="D2" s="158"/>
      <c r="E2" s="158"/>
      <c r="F2" s="96"/>
      <c r="G2" s="96"/>
      <c r="H2" s="96"/>
      <c r="I2" s="96"/>
      <c r="J2" s="96"/>
      <c r="K2" s="96"/>
      <c r="L2" s="96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</row>
    <row r="3" spans="1:68" ht="15" thickTop="1" thickBot="1">
      <c r="A3" s="19"/>
      <c r="B3" s="159" t="s">
        <v>31</v>
      </c>
      <c r="C3" s="159"/>
      <c r="D3" s="159"/>
      <c r="E3" s="97">
        <v>10</v>
      </c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</row>
    <row r="4" spans="1:68" s="100" customFormat="1" ht="20.399999999999999" thickTop="1" thickBot="1">
      <c r="A4" s="98"/>
      <c r="B4" s="99"/>
      <c r="C4" s="99"/>
      <c r="D4" s="99"/>
      <c r="E4" s="99"/>
      <c r="F4" s="99"/>
      <c r="G4" s="99" t="s">
        <v>33</v>
      </c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 t="s">
        <v>34</v>
      </c>
      <c r="AA4" s="99" t="s">
        <v>35</v>
      </c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 t="s">
        <v>36</v>
      </c>
      <c r="AU4" s="99" t="s">
        <v>37</v>
      </c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 t="s">
        <v>38</v>
      </c>
      <c r="BO4" s="98"/>
      <c r="BP4" s="98"/>
    </row>
    <row r="5" spans="1:68" ht="16.2" thickTop="1" thickBot="1">
      <c r="A5" s="101"/>
      <c r="B5" s="177" t="s">
        <v>39</v>
      </c>
      <c r="C5" s="177" t="s">
        <v>40</v>
      </c>
      <c r="D5" s="177" t="s">
        <v>41</v>
      </c>
      <c r="E5" s="177" t="s">
        <v>42</v>
      </c>
      <c r="F5" s="179" t="s">
        <v>43</v>
      </c>
      <c r="G5" s="168" t="s">
        <v>44</v>
      </c>
      <c r="H5" s="169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70"/>
      <c r="AA5" s="168" t="s">
        <v>45</v>
      </c>
      <c r="AB5" s="169"/>
      <c r="AC5" s="169"/>
      <c r="AD5" s="169"/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169"/>
      <c r="AQ5" s="169"/>
      <c r="AR5" s="169"/>
      <c r="AS5" s="169"/>
      <c r="AT5" s="170"/>
      <c r="AU5" s="168" t="s">
        <v>46</v>
      </c>
      <c r="AV5" s="169"/>
      <c r="AW5" s="169"/>
      <c r="AX5" s="169"/>
      <c r="AY5" s="169"/>
      <c r="AZ5" s="169"/>
      <c r="BA5" s="169"/>
      <c r="BB5" s="169"/>
      <c r="BC5" s="169"/>
      <c r="BD5" s="169"/>
      <c r="BE5" s="169"/>
      <c r="BF5" s="169"/>
      <c r="BG5" s="169"/>
      <c r="BH5" s="169"/>
      <c r="BI5" s="169"/>
      <c r="BJ5" s="169"/>
      <c r="BK5" s="169"/>
      <c r="BL5" s="169"/>
      <c r="BM5" s="169"/>
      <c r="BN5" s="170"/>
      <c r="BO5" s="102"/>
      <c r="BP5" s="19"/>
    </row>
    <row r="6" spans="1:68" ht="14.4" thickBot="1">
      <c r="A6" s="101"/>
      <c r="B6" s="178"/>
      <c r="C6" s="178"/>
      <c r="D6" s="178"/>
      <c r="E6" s="178"/>
      <c r="F6" s="180"/>
      <c r="G6" s="103">
        <v>46041</v>
      </c>
      <c r="H6" s="103">
        <v>46043</v>
      </c>
      <c r="I6" s="103">
        <v>46045</v>
      </c>
      <c r="J6" s="103">
        <v>46048</v>
      </c>
      <c r="K6" s="103">
        <v>46050</v>
      </c>
      <c r="L6" s="103">
        <v>46052</v>
      </c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4"/>
      <c r="AA6" s="105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4"/>
      <c r="AU6" s="105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4"/>
      <c r="BO6" s="19"/>
      <c r="BP6" s="19"/>
    </row>
    <row r="7" spans="1:68" ht="15" thickTop="1" thickBot="1">
      <c r="A7" s="101"/>
      <c r="B7" s="106" t="s">
        <v>39</v>
      </c>
      <c r="C7" s="107" t="s">
        <v>47</v>
      </c>
      <c r="D7" s="107" t="s">
        <v>47</v>
      </c>
      <c r="E7" s="107" t="s">
        <v>47</v>
      </c>
      <c r="F7" s="108">
        <f t="shared" ref="F7:F38" si="0">COUNTIF(G7:BN7,0)</f>
        <v>0</v>
      </c>
      <c r="G7" s="109">
        <v>1</v>
      </c>
      <c r="H7" s="109">
        <v>1</v>
      </c>
      <c r="I7" s="109">
        <v>1</v>
      </c>
      <c r="J7" s="109" t="s">
        <v>48</v>
      </c>
      <c r="K7" s="109" t="s">
        <v>52</v>
      </c>
      <c r="L7" s="109" t="s">
        <v>51</v>
      </c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10"/>
      <c r="AA7" s="111">
        <v>1</v>
      </c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12"/>
      <c r="AU7" s="109">
        <v>1</v>
      </c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12"/>
      <c r="BO7" s="102"/>
      <c r="BP7" s="19"/>
    </row>
    <row r="8" spans="1:68" ht="14.4" thickTop="1">
      <c r="A8" s="101"/>
      <c r="B8" s="113">
        <v>1</v>
      </c>
      <c r="C8" s="114">
        <v>20214581735</v>
      </c>
      <c r="D8" s="113" t="s">
        <v>155</v>
      </c>
      <c r="E8" s="113" t="s">
        <v>157</v>
      </c>
      <c r="F8" s="115">
        <f t="shared" si="0"/>
        <v>2</v>
      </c>
      <c r="G8" s="116">
        <v>1</v>
      </c>
      <c r="H8" s="116">
        <v>0</v>
      </c>
      <c r="I8" s="116">
        <v>0</v>
      </c>
      <c r="J8" s="116" t="s">
        <v>48</v>
      </c>
      <c r="K8" s="116" t="s">
        <v>52</v>
      </c>
      <c r="L8" s="116" t="s">
        <v>51</v>
      </c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7"/>
      <c r="AA8" s="118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9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9"/>
      <c r="BO8" s="102"/>
      <c r="BP8" s="19"/>
    </row>
    <row r="9" spans="1:68">
      <c r="A9" s="101"/>
      <c r="B9" s="120">
        <v>2</v>
      </c>
      <c r="C9" s="121">
        <v>20301234567</v>
      </c>
      <c r="D9" s="120" t="s">
        <v>156</v>
      </c>
      <c r="E9" s="120" t="s">
        <v>158</v>
      </c>
      <c r="F9" s="122">
        <f t="shared" si="0"/>
        <v>1</v>
      </c>
      <c r="G9" s="123">
        <v>0</v>
      </c>
      <c r="H9" s="123" t="s">
        <v>50</v>
      </c>
      <c r="I9" s="123">
        <v>1</v>
      </c>
      <c r="J9" s="123" t="s">
        <v>48</v>
      </c>
      <c r="K9" s="123" t="s">
        <v>52</v>
      </c>
      <c r="L9" s="123" t="s">
        <v>51</v>
      </c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4"/>
      <c r="AA9" s="125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6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6"/>
      <c r="BO9" s="102"/>
      <c r="BP9" s="19"/>
    </row>
    <row r="10" spans="1:68">
      <c r="A10" s="101"/>
      <c r="B10" s="120">
        <v>3</v>
      </c>
      <c r="C10" s="121" t="s">
        <v>161</v>
      </c>
      <c r="D10" s="120" t="s">
        <v>160</v>
      </c>
      <c r="E10" s="120" t="s">
        <v>159</v>
      </c>
      <c r="F10" s="122">
        <f t="shared" si="0"/>
        <v>0</v>
      </c>
      <c r="G10" s="123">
        <v>1</v>
      </c>
      <c r="H10" s="123">
        <v>1</v>
      </c>
      <c r="I10" s="123">
        <v>0.66</v>
      </c>
      <c r="J10" s="123" t="s">
        <v>48</v>
      </c>
      <c r="K10" s="123" t="s">
        <v>52</v>
      </c>
      <c r="L10" s="123" t="s">
        <v>51</v>
      </c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4"/>
      <c r="AA10" s="125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  <c r="AS10" s="123"/>
      <c r="AT10" s="126"/>
      <c r="AU10" s="123"/>
      <c r="AV10" s="123"/>
      <c r="AW10" s="123"/>
      <c r="AX10" s="123"/>
      <c r="AY10" s="123"/>
      <c r="AZ10" s="123"/>
      <c r="BA10" s="123"/>
      <c r="BB10" s="123"/>
      <c r="BC10" s="123"/>
      <c r="BD10" s="123"/>
      <c r="BE10" s="123"/>
      <c r="BF10" s="123"/>
      <c r="BG10" s="123"/>
      <c r="BH10" s="123"/>
      <c r="BI10" s="123"/>
      <c r="BJ10" s="123"/>
      <c r="BK10" s="123"/>
      <c r="BL10" s="123"/>
      <c r="BM10" s="123"/>
      <c r="BN10" s="126"/>
      <c r="BO10" s="102"/>
      <c r="BP10" s="19"/>
    </row>
    <row r="11" spans="1:68">
      <c r="A11" s="101"/>
      <c r="B11" s="120">
        <v>4</v>
      </c>
      <c r="C11" s="121" t="s">
        <v>163</v>
      </c>
      <c r="D11" s="120" t="s">
        <v>164</v>
      </c>
      <c r="E11" s="120" t="s">
        <v>165</v>
      </c>
      <c r="F11" s="122">
        <f t="shared" si="0"/>
        <v>1</v>
      </c>
      <c r="G11" s="123" t="s">
        <v>48</v>
      </c>
      <c r="H11" s="123">
        <v>0</v>
      </c>
      <c r="I11" s="123" t="s">
        <v>48</v>
      </c>
      <c r="J11" s="123" t="s">
        <v>48</v>
      </c>
      <c r="K11" s="123" t="s">
        <v>52</v>
      </c>
      <c r="L11" s="123" t="s">
        <v>51</v>
      </c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4"/>
      <c r="AA11" s="125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6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3"/>
      <c r="BK11" s="123"/>
      <c r="BL11" s="123"/>
      <c r="BM11" s="123"/>
      <c r="BN11" s="126"/>
      <c r="BO11" s="102"/>
      <c r="BP11" s="19"/>
    </row>
    <row r="12" spans="1:68">
      <c r="A12" s="101"/>
      <c r="B12" s="120">
        <v>5</v>
      </c>
      <c r="C12" s="121" t="s">
        <v>167</v>
      </c>
      <c r="D12" s="120" t="s">
        <v>168</v>
      </c>
      <c r="E12" s="120" t="s">
        <v>169</v>
      </c>
      <c r="F12" s="122">
        <f t="shared" si="0"/>
        <v>0</v>
      </c>
      <c r="G12" s="123">
        <v>1</v>
      </c>
      <c r="H12" s="123">
        <v>1</v>
      </c>
      <c r="I12" s="123">
        <v>1</v>
      </c>
      <c r="J12" s="123" t="s">
        <v>48</v>
      </c>
      <c r="K12" s="123" t="s">
        <v>52</v>
      </c>
      <c r="L12" s="123" t="s">
        <v>51</v>
      </c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4"/>
      <c r="AA12" s="125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6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3"/>
      <c r="BL12" s="123"/>
      <c r="BM12" s="123"/>
      <c r="BN12" s="126"/>
      <c r="BO12" s="102"/>
      <c r="BP12" s="19"/>
    </row>
    <row r="13" spans="1:68">
      <c r="A13" s="101"/>
      <c r="B13" s="120">
        <v>6</v>
      </c>
      <c r="C13" s="121"/>
      <c r="D13" s="120"/>
      <c r="E13" s="120"/>
      <c r="F13" s="122">
        <f t="shared" si="0"/>
        <v>0</v>
      </c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4"/>
      <c r="AA13" s="125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6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6"/>
      <c r="BO13" s="102"/>
      <c r="BP13" s="19"/>
    </row>
    <row r="14" spans="1:68">
      <c r="A14" s="101"/>
      <c r="B14" s="120">
        <v>7</v>
      </c>
      <c r="C14" s="121"/>
      <c r="D14" s="120"/>
      <c r="E14" s="120"/>
      <c r="F14" s="122">
        <f t="shared" si="0"/>
        <v>0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4"/>
      <c r="AA14" s="125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3"/>
      <c r="AT14" s="126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G14" s="123"/>
      <c r="BH14" s="123"/>
      <c r="BI14" s="123"/>
      <c r="BJ14" s="123"/>
      <c r="BK14" s="123"/>
      <c r="BL14" s="123"/>
      <c r="BM14" s="123"/>
      <c r="BN14" s="126"/>
      <c r="BO14" s="102"/>
      <c r="BP14" s="19"/>
    </row>
    <row r="15" spans="1:68">
      <c r="A15" s="101"/>
      <c r="B15" s="120">
        <v>8</v>
      </c>
      <c r="C15" s="121"/>
      <c r="D15" s="120"/>
      <c r="E15" s="120"/>
      <c r="F15" s="122">
        <f t="shared" si="0"/>
        <v>0</v>
      </c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4"/>
      <c r="AA15" s="125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6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3"/>
      <c r="BL15" s="123"/>
      <c r="BM15" s="123"/>
      <c r="BN15" s="126"/>
      <c r="BO15" s="102"/>
      <c r="BP15" s="19"/>
    </row>
    <row r="16" spans="1:68">
      <c r="A16" s="101"/>
      <c r="B16" s="120">
        <v>9</v>
      </c>
      <c r="C16" s="121"/>
      <c r="D16" s="120"/>
      <c r="E16" s="120"/>
      <c r="F16" s="122">
        <f t="shared" si="0"/>
        <v>0</v>
      </c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4"/>
      <c r="AA16" s="125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6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  <c r="BJ16" s="123"/>
      <c r="BK16" s="123"/>
      <c r="BL16" s="123"/>
      <c r="BM16" s="123"/>
      <c r="BN16" s="126"/>
      <c r="BO16" s="102"/>
      <c r="BP16" s="19"/>
    </row>
    <row r="17" spans="1:68">
      <c r="A17" s="101"/>
      <c r="B17" s="120">
        <v>10</v>
      </c>
      <c r="C17" s="121"/>
      <c r="D17" s="120"/>
      <c r="E17" s="120"/>
      <c r="F17" s="122">
        <f t="shared" si="0"/>
        <v>0</v>
      </c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4"/>
      <c r="AA17" s="125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  <c r="AS17" s="123"/>
      <c r="AT17" s="126"/>
      <c r="AU17" s="123"/>
      <c r="AV17" s="123"/>
      <c r="AW17" s="123"/>
      <c r="AX17" s="123"/>
      <c r="AY17" s="123"/>
      <c r="AZ17" s="123"/>
      <c r="BA17" s="123"/>
      <c r="BB17" s="123"/>
      <c r="BC17" s="123"/>
      <c r="BD17" s="123"/>
      <c r="BE17" s="123"/>
      <c r="BF17" s="123"/>
      <c r="BG17" s="123"/>
      <c r="BH17" s="123"/>
      <c r="BI17" s="123"/>
      <c r="BJ17" s="123"/>
      <c r="BK17" s="123"/>
      <c r="BL17" s="123"/>
      <c r="BM17" s="123"/>
      <c r="BN17" s="126"/>
      <c r="BO17" s="102"/>
      <c r="BP17" s="19"/>
    </row>
    <row r="18" spans="1:68">
      <c r="A18" s="101"/>
      <c r="B18" s="120">
        <v>11</v>
      </c>
      <c r="C18" s="121"/>
      <c r="D18" s="120"/>
      <c r="E18" s="120"/>
      <c r="F18" s="122">
        <f t="shared" si="0"/>
        <v>0</v>
      </c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4"/>
      <c r="AA18" s="125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6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6"/>
      <c r="BO18" s="102"/>
      <c r="BP18" s="19"/>
    </row>
    <row r="19" spans="1:68">
      <c r="A19" s="101"/>
      <c r="B19" s="120">
        <v>12</v>
      </c>
      <c r="C19" s="121"/>
      <c r="D19" s="120"/>
      <c r="E19" s="120"/>
      <c r="F19" s="122">
        <f t="shared" si="0"/>
        <v>0</v>
      </c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4"/>
      <c r="AA19" s="125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6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6"/>
      <c r="BO19" s="102"/>
      <c r="BP19" s="19"/>
    </row>
    <row r="20" spans="1:68">
      <c r="A20" s="101"/>
      <c r="B20" s="120">
        <v>13</v>
      </c>
      <c r="C20" s="121"/>
      <c r="D20" s="120"/>
      <c r="E20" s="120"/>
      <c r="F20" s="122">
        <f t="shared" si="0"/>
        <v>0</v>
      </c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4"/>
      <c r="AA20" s="125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6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6"/>
      <c r="BO20" s="102"/>
      <c r="BP20" s="19"/>
    </row>
    <row r="21" spans="1:68">
      <c r="A21" s="101"/>
      <c r="B21" s="120">
        <v>14</v>
      </c>
      <c r="C21" s="121"/>
      <c r="D21" s="120"/>
      <c r="E21" s="120"/>
      <c r="F21" s="122">
        <f t="shared" si="0"/>
        <v>0</v>
      </c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4"/>
      <c r="AA21" s="125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6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6"/>
      <c r="BO21" s="102"/>
      <c r="BP21" s="19"/>
    </row>
    <row r="22" spans="1:68">
      <c r="A22" s="101"/>
      <c r="B22" s="120">
        <v>15</v>
      </c>
      <c r="C22" s="121"/>
      <c r="D22" s="120"/>
      <c r="E22" s="120"/>
      <c r="F22" s="122">
        <f t="shared" si="0"/>
        <v>0</v>
      </c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4"/>
      <c r="AA22" s="125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6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6"/>
      <c r="BO22" s="102"/>
      <c r="BP22" s="19"/>
    </row>
    <row r="23" spans="1:68">
      <c r="A23" s="101"/>
      <c r="B23" s="120">
        <v>16</v>
      </c>
      <c r="C23" s="121"/>
      <c r="D23" s="120"/>
      <c r="E23" s="120"/>
      <c r="F23" s="122">
        <f t="shared" si="0"/>
        <v>0</v>
      </c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4"/>
      <c r="AA23" s="125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6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6"/>
      <c r="BO23" s="102"/>
      <c r="BP23" s="19"/>
    </row>
    <row r="24" spans="1:68">
      <c r="A24" s="101"/>
      <c r="B24" s="120">
        <v>17</v>
      </c>
      <c r="C24" s="121"/>
      <c r="D24" s="120"/>
      <c r="E24" s="120"/>
      <c r="F24" s="122">
        <f t="shared" si="0"/>
        <v>0</v>
      </c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4"/>
      <c r="AA24" s="125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6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6"/>
      <c r="BO24" s="102"/>
      <c r="BP24" s="19"/>
    </row>
    <row r="25" spans="1:68">
      <c r="A25" s="101"/>
      <c r="B25" s="120">
        <v>18</v>
      </c>
      <c r="C25" s="121"/>
      <c r="D25" s="120"/>
      <c r="E25" s="120"/>
      <c r="F25" s="122">
        <f t="shared" si="0"/>
        <v>0</v>
      </c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4"/>
      <c r="AA25" s="125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6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6"/>
      <c r="BO25" s="102"/>
      <c r="BP25" s="19"/>
    </row>
    <row r="26" spans="1:68">
      <c r="A26" s="101"/>
      <c r="B26" s="120">
        <v>19</v>
      </c>
      <c r="C26" s="121"/>
      <c r="D26" s="120"/>
      <c r="E26" s="120"/>
      <c r="F26" s="122">
        <f t="shared" si="0"/>
        <v>0</v>
      </c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4"/>
      <c r="AA26" s="125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6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6"/>
      <c r="BO26" s="102"/>
      <c r="BP26" s="19"/>
    </row>
    <row r="27" spans="1:68">
      <c r="A27" s="101"/>
      <c r="B27" s="120">
        <v>20</v>
      </c>
      <c r="C27" s="121"/>
      <c r="D27" s="120"/>
      <c r="E27" s="120"/>
      <c r="F27" s="122">
        <f t="shared" si="0"/>
        <v>0</v>
      </c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4"/>
      <c r="AA27" s="125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6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6"/>
      <c r="BO27" s="102"/>
      <c r="BP27" s="19"/>
    </row>
    <row r="28" spans="1:68">
      <c r="A28" s="101"/>
      <c r="B28" s="120">
        <v>21</v>
      </c>
      <c r="C28" s="121"/>
      <c r="D28" s="120"/>
      <c r="E28" s="120"/>
      <c r="F28" s="122">
        <f t="shared" si="0"/>
        <v>0</v>
      </c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4"/>
      <c r="AA28" s="125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6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6"/>
      <c r="BO28" s="102"/>
      <c r="BP28" s="19"/>
    </row>
    <row r="29" spans="1:68">
      <c r="A29" s="101"/>
      <c r="B29" s="120">
        <v>22</v>
      </c>
      <c r="C29" s="121"/>
      <c r="D29" s="120"/>
      <c r="E29" s="120"/>
      <c r="F29" s="122">
        <f t="shared" si="0"/>
        <v>0</v>
      </c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4"/>
      <c r="AA29" s="125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6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6"/>
      <c r="BO29" s="102"/>
      <c r="BP29" s="19"/>
    </row>
    <row r="30" spans="1:68">
      <c r="A30" s="101"/>
      <c r="B30" s="120">
        <v>23</v>
      </c>
      <c r="C30" s="121"/>
      <c r="D30" s="120"/>
      <c r="E30" s="120"/>
      <c r="F30" s="122">
        <f t="shared" si="0"/>
        <v>0</v>
      </c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4"/>
      <c r="AA30" s="125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6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6"/>
      <c r="BO30" s="102"/>
      <c r="BP30" s="19"/>
    </row>
    <row r="31" spans="1:68">
      <c r="A31" s="101"/>
      <c r="B31" s="120">
        <v>24</v>
      </c>
      <c r="C31" s="121"/>
      <c r="D31" s="120"/>
      <c r="E31" s="120"/>
      <c r="F31" s="122">
        <f t="shared" si="0"/>
        <v>0</v>
      </c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4"/>
      <c r="AA31" s="125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6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6"/>
      <c r="BO31" s="102"/>
      <c r="BP31" s="19"/>
    </row>
    <row r="32" spans="1:68">
      <c r="A32" s="101"/>
      <c r="B32" s="120">
        <v>25</v>
      </c>
      <c r="C32" s="121"/>
      <c r="D32" s="120"/>
      <c r="E32" s="120"/>
      <c r="F32" s="122">
        <f t="shared" si="0"/>
        <v>0</v>
      </c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4"/>
      <c r="AA32" s="125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6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6"/>
      <c r="BO32" s="102"/>
      <c r="BP32" s="19"/>
    </row>
    <row r="33" spans="1:68">
      <c r="A33" s="101"/>
      <c r="B33" s="120">
        <v>26</v>
      </c>
      <c r="C33" s="121"/>
      <c r="D33" s="120"/>
      <c r="E33" s="120"/>
      <c r="F33" s="122">
        <f t="shared" si="0"/>
        <v>0</v>
      </c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4"/>
      <c r="AA33" s="125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6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6"/>
      <c r="BO33" s="102"/>
      <c r="BP33" s="19"/>
    </row>
    <row r="34" spans="1:68">
      <c r="A34" s="101"/>
      <c r="B34" s="120">
        <v>27</v>
      </c>
      <c r="C34" s="121"/>
      <c r="D34" s="120"/>
      <c r="E34" s="120"/>
      <c r="F34" s="122">
        <f t="shared" si="0"/>
        <v>0</v>
      </c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4"/>
      <c r="AA34" s="125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6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6"/>
      <c r="BO34" s="102"/>
      <c r="BP34" s="19"/>
    </row>
    <row r="35" spans="1:68">
      <c r="A35" s="101"/>
      <c r="B35" s="120">
        <v>28</v>
      </c>
      <c r="C35" s="121"/>
      <c r="D35" s="120"/>
      <c r="E35" s="120"/>
      <c r="F35" s="122">
        <f t="shared" si="0"/>
        <v>0</v>
      </c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4"/>
      <c r="AA35" s="125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6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6"/>
      <c r="BO35" s="102"/>
      <c r="BP35" s="19"/>
    </row>
    <row r="36" spans="1:68">
      <c r="A36" s="101"/>
      <c r="B36" s="120">
        <v>29</v>
      </c>
      <c r="C36" s="121"/>
      <c r="D36" s="120"/>
      <c r="E36" s="120"/>
      <c r="F36" s="122">
        <f t="shared" si="0"/>
        <v>0</v>
      </c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4"/>
      <c r="AA36" s="125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6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6"/>
      <c r="BO36" s="102"/>
      <c r="BP36" s="19"/>
    </row>
    <row r="37" spans="1:68">
      <c r="A37" s="101"/>
      <c r="B37" s="120">
        <v>30</v>
      </c>
      <c r="C37" s="121"/>
      <c r="D37" s="120"/>
      <c r="E37" s="120"/>
      <c r="F37" s="122">
        <f t="shared" si="0"/>
        <v>0</v>
      </c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4"/>
      <c r="AA37" s="125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6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6"/>
      <c r="BO37" s="102"/>
      <c r="BP37" s="19"/>
    </row>
    <row r="38" spans="1:68">
      <c r="A38" s="101"/>
      <c r="B38" s="120">
        <v>31</v>
      </c>
      <c r="C38" s="121"/>
      <c r="D38" s="120"/>
      <c r="E38" s="120"/>
      <c r="F38" s="122">
        <f t="shared" si="0"/>
        <v>0</v>
      </c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4"/>
      <c r="AA38" s="125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6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6"/>
      <c r="BO38" s="102"/>
      <c r="BP38" s="19"/>
    </row>
    <row r="39" spans="1:68">
      <c r="A39" s="101"/>
      <c r="B39" s="120">
        <v>32</v>
      </c>
      <c r="C39" s="121"/>
      <c r="D39" s="120"/>
      <c r="E39" s="120"/>
      <c r="F39" s="122">
        <f t="shared" ref="F39:F62" si="1">COUNTIF(G39:BN39,0)</f>
        <v>0</v>
      </c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4"/>
      <c r="AA39" s="125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6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6"/>
      <c r="BO39" s="102"/>
      <c r="BP39" s="19"/>
    </row>
    <row r="40" spans="1:68">
      <c r="A40" s="101"/>
      <c r="B40" s="120">
        <v>33</v>
      </c>
      <c r="C40" s="121"/>
      <c r="D40" s="120"/>
      <c r="E40" s="120"/>
      <c r="F40" s="122">
        <f t="shared" si="1"/>
        <v>0</v>
      </c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4"/>
      <c r="AA40" s="125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6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6"/>
      <c r="BO40" s="102"/>
      <c r="BP40" s="19"/>
    </row>
    <row r="41" spans="1:68">
      <c r="A41" s="101"/>
      <c r="B41" s="120">
        <v>34</v>
      </c>
      <c r="C41" s="121"/>
      <c r="D41" s="120"/>
      <c r="E41" s="120"/>
      <c r="F41" s="122">
        <f t="shared" si="1"/>
        <v>0</v>
      </c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4"/>
      <c r="AA41" s="125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6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6"/>
      <c r="BO41" s="102"/>
      <c r="BP41" s="19"/>
    </row>
    <row r="42" spans="1:68">
      <c r="A42" s="101"/>
      <c r="B42" s="120">
        <v>35</v>
      </c>
      <c r="C42" s="121"/>
      <c r="D42" s="120"/>
      <c r="E42" s="120"/>
      <c r="F42" s="122">
        <f t="shared" si="1"/>
        <v>0</v>
      </c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4"/>
      <c r="AA42" s="125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6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6"/>
      <c r="BO42" s="102"/>
      <c r="BP42" s="19"/>
    </row>
    <row r="43" spans="1:68">
      <c r="A43" s="101"/>
      <c r="B43" s="120">
        <v>36</v>
      </c>
      <c r="C43" s="121"/>
      <c r="D43" s="120"/>
      <c r="E43" s="120"/>
      <c r="F43" s="122">
        <f t="shared" si="1"/>
        <v>0</v>
      </c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4"/>
      <c r="AA43" s="125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6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6"/>
      <c r="BO43" s="102"/>
      <c r="BP43" s="19"/>
    </row>
    <row r="44" spans="1:68">
      <c r="A44" s="101"/>
      <c r="B44" s="120">
        <v>37</v>
      </c>
      <c r="C44" s="121"/>
      <c r="D44" s="120"/>
      <c r="E44" s="120"/>
      <c r="F44" s="122">
        <f t="shared" si="1"/>
        <v>0</v>
      </c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4"/>
      <c r="AA44" s="125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6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6"/>
      <c r="BO44" s="102"/>
      <c r="BP44" s="19"/>
    </row>
    <row r="45" spans="1:68">
      <c r="A45" s="101"/>
      <c r="B45" s="120">
        <v>38</v>
      </c>
      <c r="C45" s="121"/>
      <c r="D45" s="120"/>
      <c r="E45" s="120"/>
      <c r="F45" s="122">
        <f t="shared" si="1"/>
        <v>0</v>
      </c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4"/>
      <c r="AA45" s="125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6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6"/>
      <c r="BO45" s="102"/>
      <c r="BP45" s="19"/>
    </row>
    <row r="46" spans="1:68">
      <c r="A46" s="101"/>
      <c r="B46" s="120">
        <v>39</v>
      </c>
      <c r="C46" s="121"/>
      <c r="D46" s="120"/>
      <c r="E46" s="120"/>
      <c r="F46" s="122">
        <f t="shared" si="1"/>
        <v>0</v>
      </c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4"/>
      <c r="AA46" s="125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6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6"/>
      <c r="BO46" s="102"/>
      <c r="BP46" s="19"/>
    </row>
    <row r="47" spans="1:68">
      <c r="A47" s="101"/>
      <c r="B47" s="120">
        <v>40</v>
      </c>
      <c r="C47" s="121"/>
      <c r="D47" s="120"/>
      <c r="E47" s="120"/>
      <c r="F47" s="122">
        <f t="shared" si="1"/>
        <v>0</v>
      </c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4"/>
      <c r="AA47" s="125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6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6"/>
      <c r="BO47" s="102"/>
      <c r="BP47" s="19"/>
    </row>
    <row r="48" spans="1:68">
      <c r="A48" s="101"/>
      <c r="B48" s="120">
        <v>41</v>
      </c>
      <c r="C48" s="121"/>
      <c r="D48" s="120"/>
      <c r="E48" s="120"/>
      <c r="F48" s="122">
        <f t="shared" si="1"/>
        <v>0</v>
      </c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4"/>
      <c r="AA48" s="125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6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6"/>
      <c r="BO48" s="102"/>
      <c r="BP48" s="19"/>
    </row>
    <row r="49" spans="1:68">
      <c r="A49" s="101"/>
      <c r="B49" s="120">
        <v>42</v>
      </c>
      <c r="C49" s="121"/>
      <c r="D49" s="120"/>
      <c r="E49" s="120"/>
      <c r="F49" s="122">
        <f t="shared" si="1"/>
        <v>0</v>
      </c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4"/>
      <c r="AA49" s="125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6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6"/>
      <c r="BO49" s="102"/>
      <c r="BP49" s="19"/>
    </row>
    <row r="50" spans="1:68">
      <c r="A50" s="101"/>
      <c r="B50" s="120">
        <v>43</v>
      </c>
      <c r="C50" s="121"/>
      <c r="D50" s="120"/>
      <c r="E50" s="120"/>
      <c r="F50" s="122">
        <f t="shared" si="1"/>
        <v>0</v>
      </c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4"/>
      <c r="AA50" s="125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6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6"/>
      <c r="BO50" s="102"/>
      <c r="BP50" s="19"/>
    </row>
    <row r="51" spans="1:68">
      <c r="A51" s="101"/>
      <c r="B51" s="120">
        <v>44</v>
      </c>
      <c r="C51" s="121"/>
      <c r="D51" s="120"/>
      <c r="E51" s="120"/>
      <c r="F51" s="122">
        <f t="shared" si="1"/>
        <v>0</v>
      </c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4"/>
      <c r="AA51" s="125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6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6"/>
      <c r="BO51" s="102"/>
      <c r="BP51" s="19"/>
    </row>
    <row r="52" spans="1:68">
      <c r="A52" s="101"/>
      <c r="B52" s="120">
        <v>45</v>
      </c>
      <c r="C52" s="121"/>
      <c r="D52" s="120"/>
      <c r="E52" s="120"/>
      <c r="F52" s="122">
        <f t="shared" si="1"/>
        <v>0</v>
      </c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4"/>
      <c r="AA52" s="125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6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6"/>
      <c r="BO52" s="102"/>
      <c r="BP52" s="19"/>
    </row>
    <row r="53" spans="1:68">
      <c r="A53" s="101"/>
      <c r="B53" s="120">
        <v>46</v>
      </c>
      <c r="C53" s="121"/>
      <c r="D53" s="120"/>
      <c r="E53" s="120"/>
      <c r="F53" s="122">
        <f t="shared" si="1"/>
        <v>0</v>
      </c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4"/>
      <c r="AA53" s="125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6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6"/>
      <c r="BO53" s="102"/>
      <c r="BP53" s="19"/>
    </row>
    <row r="54" spans="1:68">
      <c r="A54" s="101"/>
      <c r="B54" s="120">
        <v>47</v>
      </c>
      <c r="C54" s="121"/>
      <c r="D54" s="120"/>
      <c r="E54" s="120"/>
      <c r="F54" s="122">
        <f t="shared" si="1"/>
        <v>0</v>
      </c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4"/>
      <c r="AA54" s="125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6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6"/>
      <c r="BO54" s="102"/>
      <c r="BP54" s="19"/>
    </row>
    <row r="55" spans="1:68">
      <c r="A55" s="101"/>
      <c r="B55" s="120">
        <v>48</v>
      </c>
      <c r="C55" s="121"/>
      <c r="D55" s="120"/>
      <c r="E55" s="120"/>
      <c r="F55" s="122">
        <f t="shared" si="1"/>
        <v>0</v>
      </c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4"/>
      <c r="AA55" s="125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6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6"/>
      <c r="BO55" s="102"/>
      <c r="BP55" s="19"/>
    </row>
    <row r="56" spans="1:68">
      <c r="A56" s="101"/>
      <c r="B56" s="120">
        <v>49</v>
      </c>
      <c r="C56" s="121"/>
      <c r="D56" s="120"/>
      <c r="E56" s="120"/>
      <c r="F56" s="122">
        <f t="shared" si="1"/>
        <v>0</v>
      </c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4"/>
      <c r="AA56" s="125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6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6"/>
      <c r="BO56" s="102"/>
      <c r="BP56" s="19"/>
    </row>
    <row r="57" spans="1:68">
      <c r="A57" s="101"/>
      <c r="B57" s="120">
        <v>50</v>
      </c>
      <c r="C57" s="121"/>
      <c r="D57" s="120"/>
      <c r="E57" s="120"/>
      <c r="F57" s="122">
        <f t="shared" si="1"/>
        <v>0</v>
      </c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4"/>
      <c r="AA57" s="125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6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6"/>
      <c r="BO57" s="102"/>
      <c r="BP57" s="19"/>
    </row>
    <row r="58" spans="1:68">
      <c r="A58" s="101"/>
      <c r="B58" s="120">
        <v>51</v>
      </c>
      <c r="C58" s="121"/>
      <c r="D58" s="120"/>
      <c r="E58" s="120"/>
      <c r="F58" s="122">
        <f t="shared" si="1"/>
        <v>0</v>
      </c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4"/>
      <c r="AA58" s="125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6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6"/>
      <c r="BO58" s="102"/>
      <c r="BP58" s="19"/>
    </row>
    <row r="59" spans="1:68">
      <c r="A59" s="101"/>
      <c r="B59" s="120">
        <v>52</v>
      </c>
      <c r="C59" s="121"/>
      <c r="D59" s="120"/>
      <c r="E59" s="120"/>
      <c r="F59" s="122">
        <f t="shared" si="1"/>
        <v>0</v>
      </c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4"/>
      <c r="AA59" s="125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6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6"/>
      <c r="BO59" s="102"/>
      <c r="BP59" s="19"/>
    </row>
    <row r="60" spans="1:68">
      <c r="A60" s="101"/>
      <c r="B60" s="120">
        <v>53</v>
      </c>
      <c r="C60" s="121"/>
      <c r="D60" s="120"/>
      <c r="E60" s="120"/>
      <c r="F60" s="122">
        <f t="shared" si="1"/>
        <v>0</v>
      </c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4"/>
      <c r="AA60" s="125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6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6"/>
      <c r="BO60" s="102"/>
      <c r="BP60" s="19"/>
    </row>
    <row r="61" spans="1:68">
      <c r="A61" s="101"/>
      <c r="B61" s="120">
        <v>54</v>
      </c>
      <c r="C61" s="121"/>
      <c r="D61" s="120"/>
      <c r="E61" s="120"/>
      <c r="F61" s="122">
        <f t="shared" si="1"/>
        <v>0</v>
      </c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4"/>
      <c r="AA61" s="125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6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6"/>
      <c r="BO61" s="102"/>
      <c r="BP61" s="19"/>
    </row>
    <row r="62" spans="1:68" ht="14.4" thickBot="1">
      <c r="A62" s="101"/>
      <c r="B62" s="120">
        <v>55</v>
      </c>
      <c r="C62" s="121"/>
      <c r="D62" s="120"/>
      <c r="E62" s="120"/>
      <c r="F62" s="122">
        <f t="shared" si="1"/>
        <v>0</v>
      </c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4"/>
      <c r="AA62" s="125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6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6"/>
      <c r="BO62" s="102"/>
      <c r="BP62" s="19"/>
    </row>
    <row r="63" spans="1:68" ht="14.4" thickTop="1">
      <c r="A63" s="19"/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27"/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9"/>
      <c r="BP63" s="19"/>
    </row>
    <row r="64" spans="1:68" ht="14.4" thickBo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</row>
    <row r="65" spans="1:68" ht="20.399999999999999" thickTop="1" thickBot="1">
      <c r="A65" s="101"/>
      <c r="B65" s="171" t="s">
        <v>49</v>
      </c>
      <c r="C65" s="172"/>
      <c r="D65" s="172"/>
      <c r="E65" s="173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</row>
    <row r="66" spans="1:68" ht="31.2" customHeight="1" thickTop="1" thickBot="1">
      <c r="A66" s="101"/>
      <c r="B66" s="128">
        <v>1</v>
      </c>
      <c r="C66" s="174" t="s">
        <v>172</v>
      </c>
      <c r="D66" s="175"/>
      <c r="E66" s="176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</row>
    <row r="67" spans="1:68" ht="31.2" customHeight="1" thickBot="1">
      <c r="A67" s="101"/>
      <c r="B67" s="128" t="s">
        <v>60</v>
      </c>
      <c r="C67" s="160" t="s">
        <v>173</v>
      </c>
      <c r="D67" s="161"/>
      <c r="E67" s="162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</row>
    <row r="68" spans="1:68" ht="31.2" customHeight="1" thickBot="1">
      <c r="A68" s="101"/>
      <c r="B68" s="129" t="s">
        <v>50</v>
      </c>
      <c r="C68" s="160" t="s">
        <v>174</v>
      </c>
      <c r="D68" s="161"/>
      <c r="E68" s="162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</row>
    <row r="69" spans="1:68" ht="31.2" customHeight="1" thickBot="1">
      <c r="A69" s="101"/>
      <c r="B69" s="130" t="s">
        <v>51</v>
      </c>
      <c r="C69" s="160" t="s">
        <v>175</v>
      </c>
      <c r="D69" s="161"/>
      <c r="E69" s="162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</row>
    <row r="70" spans="1:68" ht="31.2" customHeight="1" thickBot="1">
      <c r="A70" s="101"/>
      <c r="B70" s="131" t="s">
        <v>52</v>
      </c>
      <c r="C70" s="160" t="s">
        <v>176</v>
      </c>
      <c r="D70" s="161"/>
      <c r="E70" s="162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</row>
    <row r="71" spans="1:68" ht="31.2" customHeight="1" thickBot="1">
      <c r="A71" s="101"/>
      <c r="B71" s="132" t="s">
        <v>48</v>
      </c>
      <c r="C71" s="160" t="s">
        <v>177</v>
      </c>
      <c r="D71" s="161"/>
      <c r="E71" s="162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</row>
    <row r="72" spans="1:68" ht="31.2" customHeight="1" thickBot="1">
      <c r="A72" s="101"/>
      <c r="B72" s="133">
        <v>0</v>
      </c>
      <c r="C72" s="160" t="s">
        <v>178</v>
      </c>
      <c r="D72" s="161"/>
      <c r="E72" s="162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</row>
    <row r="73" spans="1:68" ht="31.2" customHeight="1" thickBot="1">
      <c r="A73" s="101"/>
      <c r="B73" s="134" t="s">
        <v>53</v>
      </c>
      <c r="C73" s="160" t="s">
        <v>179</v>
      </c>
      <c r="D73" s="161"/>
      <c r="E73" s="162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</row>
    <row r="74" spans="1:68" ht="31.2" customHeight="1" thickBot="1">
      <c r="A74" s="101"/>
      <c r="B74" s="135" t="s">
        <v>54</v>
      </c>
      <c r="C74" s="187" t="s">
        <v>180</v>
      </c>
      <c r="D74" s="188"/>
      <c r="E74" s="18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</row>
    <row r="75" spans="1:68" ht="14.4" thickTop="1">
      <c r="A75" s="19"/>
      <c r="B75" s="136"/>
      <c r="C75" s="136"/>
      <c r="D75" s="136"/>
      <c r="E75" s="136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</row>
    <row r="76" spans="1:68" ht="14.4" thickBot="1">
      <c r="A76" s="19"/>
      <c r="B76" s="137"/>
      <c r="C76" s="137"/>
      <c r="D76" s="137"/>
      <c r="E76" s="137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</row>
    <row r="77" spans="1:68" ht="18" thickTop="1" thickBot="1">
      <c r="A77" s="101"/>
      <c r="B77" s="163" t="s">
        <v>55</v>
      </c>
      <c r="C77" s="164"/>
      <c r="D77" s="164"/>
      <c r="E77" s="165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</row>
    <row r="78" spans="1:68" ht="16.2" thickTop="1" thickBot="1">
      <c r="A78" s="101"/>
      <c r="B78" s="166" t="s">
        <v>56</v>
      </c>
      <c r="C78" s="167"/>
      <c r="D78" s="138" t="s">
        <v>57</v>
      </c>
      <c r="E78" s="138" t="s">
        <v>58</v>
      </c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</row>
    <row r="79" spans="1:68" ht="15" thickTop="1" thickBot="1">
      <c r="A79" s="101"/>
      <c r="B79" s="181" t="s">
        <v>59</v>
      </c>
      <c r="C79" s="182"/>
      <c r="D79" s="139" t="str">
        <f>SUBSTITUTE(ADDRESS(1, COLUMN(G5), 4), "1", "")</f>
        <v>G</v>
      </c>
      <c r="E79" s="139" t="str">
        <f>SUBSTITUTE(ADDRESS(1, COLUMN(Z5), 4), "1", "")</f>
        <v>Z</v>
      </c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</row>
    <row r="80" spans="1:68" ht="14.4" thickBot="1">
      <c r="A80" s="101"/>
      <c r="B80" s="183" t="s">
        <v>45</v>
      </c>
      <c r="C80" s="184"/>
      <c r="D80" s="139" t="str">
        <f>SUBSTITUTE(ADDRESS(1, COLUMN(AA5), 4), "1", "")</f>
        <v>AA</v>
      </c>
      <c r="E80" s="139" t="str">
        <f>SUBSTITUTE(ADDRESS(1, COLUMN(AT5), 4), "1", "")</f>
        <v>AT</v>
      </c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</row>
    <row r="81" spans="1:68" ht="14.4" thickBot="1">
      <c r="A81" s="101"/>
      <c r="B81" s="185" t="s">
        <v>46</v>
      </c>
      <c r="C81" s="186"/>
      <c r="D81" s="140" t="str">
        <f>SUBSTITUTE(ADDRESS(1, COLUMN(AU5), 4), "1", "")</f>
        <v>AU</v>
      </c>
      <c r="E81" s="140" t="str">
        <f>SUBSTITUTE(ADDRESS(1, COLUMN(BN5), 4), "1", "")</f>
        <v>BN</v>
      </c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</row>
    <row r="82" spans="1:68" ht="15" thickTop="1" thickBot="1"/>
    <row r="83" spans="1:68" ht="15" thickTop="1" thickBot="1">
      <c r="B83" s="159" t="s">
        <v>74</v>
      </c>
      <c r="C83" s="159"/>
      <c r="D83" s="159"/>
      <c r="E83" s="141">
        <f>COUNTIF(G7:BN7, 1)</f>
        <v>5</v>
      </c>
    </row>
    <row r="84" spans="1:68" ht="14.4" thickTop="1"/>
  </sheetData>
  <sheetProtection algorithmName="SHA-512" hashValue="tPmWPSjyqxj61mu52J7T1PJ7BTNkqj9AO4+RZAjKY4Hx42QoseRuQtFrXOqhRSIpx+T66LMZEFbaMQxDoPdOMg==" saltValue="1lUXEOJCaA0YcY6y/7g35Q==" spinCount="100000" sheet="1" formatColumns="0" insertColumns="0"/>
  <protectedRanges>
    <protectedRange sqref="G7:BN62" name="Range_Attendance"/>
    <protectedRange sqref="E3" name="Range_MaxAbsences"/>
    <protectedRange sqref="C8:E62" name="RangeStudent_Data"/>
    <protectedRange sqref="G6:BN6" name="RangeDates"/>
  </protectedRanges>
  <mergeCells count="26">
    <mergeCell ref="B83:D83"/>
    <mergeCell ref="AA5:AT5"/>
    <mergeCell ref="AU5:BN5"/>
    <mergeCell ref="B65:E65"/>
    <mergeCell ref="C66:E66"/>
    <mergeCell ref="C68:E68"/>
    <mergeCell ref="B5:B6"/>
    <mergeCell ref="C5:C6"/>
    <mergeCell ref="D5:D6"/>
    <mergeCell ref="E5:E6"/>
    <mergeCell ref="F5:F6"/>
    <mergeCell ref="B79:C79"/>
    <mergeCell ref="B80:C80"/>
    <mergeCell ref="B81:C81"/>
    <mergeCell ref="C74:E74"/>
    <mergeCell ref="G5:Z5"/>
    <mergeCell ref="B2:E2"/>
    <mergeCell ref="B3:D3"/>
    <mergeCell ref="C67:E67"/>
    <mergeCell ref="B77:E77"/>
    <mergeCell ref="B78:C78"/>
    <mergeCell ref="C69:E69"/>
    <mergeCell ref="C70:E70"/>
    <mergeCell ref="C71:E71"/>
    <mergeCell ref="C72:E72"/>
    <mergeCell ref="C73:E73"/>
  </mergeCells>
  <conditionalFormatting sqref="F7:F62">
    <cfRule type="cellIs" dxfId="15" priority="12" operator="lessThanOrEqual">
      <formula>$E$3 - 3</formula>
    </cfRule>
    <cfRule type="cellIs" dxfId="14" priority="14" operator="greaterThanOrEqual">
      <formula>$E$3</formula>
    </cfRule>
    <cfRule type="cellIs" dxfId="13" priority="15" operator="equal">
      <formula>$E$3 - 1</formula>
    </cfRule>
    <cfRule type="cellIs" dxfId="12" priority="16" operator="equal">
      <formula>$E$3 - 2</formula>
    </cfRule>
  </conditionalFormatting>
  <conditionalFormatting sqref="G7:BN62">
    <cfRule type="cellIs" dxfId="11" priority="2" operator="equal">
      <formula>"D"</formula>
    </cfRule>
    <cfRule type="containsBlanks" dxfId="10" priority="4">
      <formula>LEN(TRIM(G7))=0</formula>
    </cfRule>
    <cfRule type="cellIs" dxfId="9" priority="5" operator="equal">
      <formula>0</formula>
    </cfRule>
    <cfRule type="cellIs" dxfId="8" priority="8" operator="equal">
      <formula>"TC"</formula>
    </cfRule>
    <cfRule type="cellIs" dxfId="7" priority="9" operator="equal">
      <formula>"H"</formula>
    </cfRule>
    <cfRule type="cellIs" dxfId="6" priority="10" operator="equal">
      <formula>"NR"</formula>
    </cfRule>
    <cfRule type="cellIs" dxfId="5" priority="11" operator="equal">
      <formula>"E"</formula>
    </cfRule>
    <cfRule type="cellIs" dxfId="4" priority="17" operator="equal">
      <formula>1</formula>
    </cfRule>
  </conditionalFormatting>
  <conditionalFormatting sqref="G6:BN62">
    <cfRule type="cellIs" dxfId="3" priority="1" operator="equal">
      <formula>"W"</formula>
    </cfRule>
  </conditionalFormatting>
  <pageMargins left="0.7" right="0.7" top="0.75" bottom="0.75" header="0.3" footer="0.3"/>
  <pageSetup orientation="portrait" r:id="rId1"/>
  <ignoredErrors>
    <ignoredError sqref="B6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A2C8A-B129-4A83-9CFC-AE1470AEBBFF}">
  <sheetPr codeName="Sheet3">
    <tabColor rgb="FF92D050"/>
    <pageSetUpPr fitToPage="1"/>
  </sheetPr>
  <dimension ref="B1:AK89"/>
  <sheetViews>
    <sheetView tabSelected="1" zoomScaleNormal="100" workbookViewId="0">
      <pane xSplit="6" ySplit="16" topLeftCell="G17" activePane="bottomRight" state="frozen"/>
      <selection pane="topRight" activeCell="G1" sqref="G1"/>
      <selection pane="bottomLeft" activeCell="A11" sqref="A11"/>
      <selection pane="bottomRight" activeCell="AM23" sqref="AM23"/>
    </sheetView>
  </sheetViews>
  <sheetFormatPr defaultColWidth="9.109375" defaultRowHeight="13.8"/>
  <cols>
    <col min="1" max="1" width="2.77734375" style="22" customWidth="1"/>
    <col min="2" max="2" width="3" style="22" bestFit="1" customWidth="1"/>
    <col min="3" max="3" width="14" style="22" customWidth="1"/>
    <col min="4" max="4" width="15.5546875" style="22" customWidth="1"/>
    <col min="5" max="5" width="11.88671875" style="22" bestFit="1" customWidth="1"/>
    <col min="6" max="6" width="0.5546875" style="23" customWidth="1"/>
    <col min="7" max="7" width="6.109375" style="22" customWidth="1"/>
    <col min="8" max="8" width="5.88671875" style="24" customWidth="1"/>
    <col min="9" max="9" width="6.109375" style="22" customWidth="1"/>
    <col min="10" max="10" width="5.88671875" style="24" customWidth="1"/>
    <col min="11" max="11" width="6.109375" style="22" customWidth="1"/>
    <col min="12" max="12" width="5.88671875" style="24" customWidth="1"/>
    <col min="13" max="13" width="6.109375" style="22" customWidth="1"/>
    <col min="14" max="14" width="5.88671875" style="24" customWidth="1"/>
    <col min="15" max="15" width="6.109375" style="22" customWidth="1"/>
    <col min="16" max="16" width="5.88671875" style="24" customWidth="1"/>
    <col min="17" max="17" width="6.109375" style="22" customWidth="1"/>
    <col min="18" max="18" width="5.88671875" style="24" customWidth="1"/>
    <col min="19" max="19" width="6.109375" style="22" customWidth="1"/>
    <col min="20" max="20" width="5.88671875" style="24" customWidth="1"/>
    <col min="21" max="21" width="6.109375" style="22" customWidth="1"/>
    <col min="22" max="22" width="5.88671875" style="24" customWidth="1"/>
    <col min="23" max="23" width="6.109375" style="22" customWidth="1"/>
    <col min="24" max="24" width="5.88671875" style="24" customWidth="1"/>
    <col min="25" max="25" width="6.109375" style="22" customWidth="1"/>
    <col min="26" max="26" width="5.88671875" style="24" customWidth="1"/>
    <col min="27" max="27" width="0.5546875" style="24" customWidth="1"/>
    <col min="28" max="28" width="5" style="22" customWidth="1"/>
    <col min="29" max="29" width="0.5546875" style="22" customWidth="1"/>
    <col min="30" max="30" width="5" style="22" customWidth="1"/>
    <col min="31" max="31" width="0.5546875" style="22" customWidth="1"/>
    <col min="32" max="32" width="6.109375" style="22" customWidth="1"/>
    <col min="33" max="34" width="5.21875" style="22" customWidth="1"/>
    <col min="35" max="36" width="7.33203125" style="22" customWidth="1"/>
    <col min="37" max="16384" width="9.109375" style="22"/>
  </cols>
  <sheetData>
    <row r="1" spans="2:37" ht="14.4" thickBot="1">
      <c r="B1" s="193" t="s">
        <v>92</v>
      </c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</row>
    <row r="2" spans="2:37" ht="21" customHeight="1" thickTop="1">
      <c r="B2" s="195"/>
      <c r="C2" s="196"/>
      <c r="D2" s="196"/>
      <c r="E2" s="196"/>
      <c r="F2" s="197"/>
      <c r="G2" s="204" t="s">
        <v>66</v>
      </c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6"/>
    </row>
    <row r="3" spans="2:37" ht="21" customHeight="1" thickBot="1">
      <c r="B3" s="198"/>
      <c r="C3" s="199"/>
      <c r="D3" s="199"/>
      <c r="E3" s="199"/>
      <c r="F3" s="200"/>
      <c r="G3" s="207" t="s">
        <v>0</v>
      </c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9"/>
    </row>
    <row r="4" spans="2:37" ht="13.8" customHeight="1" thickTop="1">
      <c r="B4" s="198"/>
      <c r="C4" s="199"/>
      <c r="D4" s="199"/>
      <c r="E4" s="199"/>
      <c r="F4" s="200"/>
      <c r="G4" s="216" t="s">
        <v>1</v>
      </c>
      <c r="H4" s="217"/>
      <c r="I4" s="217"/>
      <c r="J4" s="222" t="s">
        <v>72</v>
      </c>
      <c r="K4" s="223"/>
      <c r="L4" s="223"/>
      <c r="M4" s="223"/>
      <c r="N4" s="223"/>
      <c r="O4" s="224"/>
      <c r="P4" s="301" t="s">
        <v>70</v>
      </c>
      <c r="Q4" s="302"/>
      <c r="R4" s="302"/>
      <c r="S4" s="302"/>
      <c r="T4" s="302"/>
      <c r="U4" s="302"/>
      <c r="V4" s="302"/>
      <c r="W4" s="302"/>
      <c r="X4" s="303"/>
      <c r="Y4" s="216" t="s">
        <v>2</v>
      </c>
      <c r="Z4" s="217"/>
      <c r="AA4" s="217"/>
      <c r="AB4" s="210" t="s">
        <v>71</v>
      </c>
      <c r="AC4" s="211"/>
      <c r="AD4" s="211"/>
      <c r="AE4" s="211"/>
      <c r="AF4" s="211"/>
      <c r="AG4" s="211"/>
      <c r="AH4" s="211"/>
      <c r="AI4" s="211"/>
      <c r="AJ4" s="212"/>
    </row>
    <row r="5" spans="2:37" ht="13.8" customHeight="1">
      <c r="B5" s="198"/>
      <c r="C5" s="199"/>
      <c r="D5" s="199"/>
      <c r="E5" s="199"/>
      <c r="F5" s="200"/>
      <c r="G5" s="218" t="s">
        <v>3</v>
      </c>
      <c r="H5" s="219"/>
      <c r="I5" s="219"/>
      <c r="J5" s="213" t="s">
        <v>73</v>
      </c>
      <c r="K5" s="214"/>
      <c r="L5" s="214"/>
      <c r="M5" s="214"/>
      <c r="N5" s="214"/>
      <c r="O5" s="215"/>
      <c r="P5" s="304"/>
      <c r="Q5" s="305"/>
      <c r="R5" s="305"/>
      <c r="S5" s="305"/>
      <c r="T5" s="305"/>
      <c r="U5" s="305"/>
      <c r="V5" s="305"/>
      <c r="W5" s="305"/>
      <c r="X5" s="306"/>
      <c r="Y5" s="218" t="s">
        <v>79</v>
      </c>
      <c r="Z5" s="219"/>
      <c r="AA5" s="219"/>
      <c r="AB5" s="213">
        <v>313</v>
      </c>
      <c r="AC5" s="214"/>
      <c r="AD5" s="214"/>
      <c r="AE5" s="214"/>
      <c r="AF5" s="214"/>
      <c r="AG5" s="214"/>
      <c r="AH5" s="214"/>
      <c r="AI5" s="214"/>
      <c r="AJ5" s="215"/>
    </row>
    <row r="6" spans="2:37" ht="13.8" customHeight="1">
      <c r="B6" s="198"/>
      <c r="C6" s="199"/>
      <c r="D6" s="199"/>
      <c r="E6" s="199"/>
      <c r="F6" s="200"/>
      <c r="G6" s="218" t="s">
        <v>4</v>
      </c>
      <c r="H6" s="219"/>
      <c r="I6" s="219"/>
      <c r="J6" s="213">
        <v>9999</v>
      </c>
      <c r="K6" s="214"/>
      <c r="L6" s="214"/>
      <c r="M6" s="214"/>
      <c r="N6" s="214"/>
      <c r="O6" s="215"/>
      <c r="P6" s="307"/>
      <c r="Q6" s="308"/>
      <c r="R6" s="308"/>
      <c r="S6" s="308"/>
      <c r="T6" s="308"/>
      <c r="U6" s="308"/>
      <c r="V6" s="308"/>
      <c r="W6" s="308"/>
      <c r="X6" s="309"/>
      <c r="Y6" s="218" t="s">
        <v>67</v>
      </c>
      <c r="Z6" s="219"/>
      <c r="AA6" s="219"/>
      <c r="AB6" s="213" t="s">
        <v>69</v>
      </c>
      <c r="AC6" s="214"/>
      <c r="AD6" s="214"/>
      <c r="AE6" s="214"/>
      <c r="AF6" s="214"/>
      <c r="AG6" s="214"/>
      <c r="AH6" s="214"/>
      <c r="AI6" s="214"/>
      <c r="AJ6" s="215"/>
      <c r="AK6" s="14"/>
    </row>
    <row r="7" spans="2:37" ht="13.8" customHeight="1" thickBot="1">
      <c r="B7" s="201"/>
      <c r="C7" s="202"/>
      <c r="D7" s="202"/>
      <c r="E7" s="202"/>
      <c r="F7" s="203"/>
      <c r="G7" s="220" t="s">
        <v>5</v>
      </c>
      <c r="H7" s="221"/>
      <c r="I7" s="221"/>
      <c r="J7" s="190" t="s">
        <v>68</v>
      </c>
      <c r="K7" s="191"/>
      <c r="L7" s="191"/>
      <c r="M7" s="191"/>
      <c r="N7" s="191"/>
      <c r="O7" s="192"/>
      <c r="P7" s="310" t="s">
        <v>166</v>
      </c>
      <c r="Q7" s="311"/>
      <c r="R7" s="311"/>
      <c r="S7" s="311"/>
      <c r="T7" s="311"/>
      <c r="U7" s="311"/>
      <c r="V7" s="311"/>
      <c r="W7" s="311"/>
      <c r="X7" s="312"/>
      <c r="Y7" s="220" t="s">
        <v>80</v>
      </c>
      <c r="Z7" s="221"/>
      <c r="AA7" s="221"/>
      <c r="AB7" s="190">
        <v>12345</v>
      </c>
      <c r="AC7" s="191"/>
      <c r="AD7" s="191"/>
      <c r="AE7" s="191"/>
      <c r="AF7" s="191"/>
      <c r="AG7" s="191"/>
      <c r="AH7" s="191"/>
      <c r="AI7" s="191"/>
      <c r="AJ7" s="192"/>
    </row>
    <row r="8" spans="2:37" ht="3" customHeight="1" thickTop="1" thickBot="1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</row>
    <row r="9" spans="2:37" ht="19.2" customHeight="1" thickTop="1" thickBot="1">
      <c r="B9" s="329" t="s">
        <v>75</v>
      </c>
      <c r="C9" s="330"/>
      <c r="D9" s="331"/>
      <c r="E9" s="63">
        <v>60</v>
      </c>
      <c r="F9" s="19"/>
      <c r="G9" s="324" t="s">
        <v>64</v>
      </c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  <c r="U9" s="325"/>
      <c r="V9" s="325"/>
      <c r="W9" s="325"/>
      <c r="X9" s="325"/>
      <c r="Y9" s="325"/>
      <c r="Z9" s="326"/>
      <c r="AA9" s="11"/>
      <c r="AB9" s="327" t="s">
        <v>65</v>
      </c>
      <c r="AC9" s="15"/>
      <c r="AD9" s="299" t="s">
        <v>6</v>
      </c>
      <c r="AE9" s="17"/>
      <c r="AF9" s="291" t="s">
        <v>170</v>
      </c>
      <c r="AG9" s="243" t="s">
        <v>62</v>
      </c>
      <c r="AH9" s="244"/>
      <c r="AI9" s="244"/>
      <c r="AJ9" s="245"/>
      <c r="AK9" s="14"/>
    </row>
    <row r="10" spans="2:37" ht="15.6" customHeight="1" thickTop="1">
      <c r="B10" s="332" t="s">
        <v>171</v>
      </c>
      <c r="C10" s="333"/>
      <c r="D10" s="334"/>
      <c r="E10" s="74"/>
      <c r="F10" s="26" t="b">
        <v>1</v>
      </c>
      <c r="G10" s="39" t="s">
        <v>8</v>
      </c>
      <c r="H10" s="296" t="str">
        <f>CONCATENATE(G10, "-%")</f>
        <v>O1-%</v>
      </c>
      <c r="I10" s="40" t="s">
        <v>9</v>
      </c>
      <c r="J10" s="296" t="str">
        <f>CONCATENATE(I10, "-%")</f>
        <v>O2-%</v>
      </c>
      <c r="K10" s="40" t="s">
        <v>10</v>
      </c>
      <c r="L10" s="296" t="str">
        <f>CONCATENATE(K10, "-%")</f>
        <v>O3-%</v>
      </c>
      <c r="M10" s="40" t="s">
        <v>11</v>
      </c>
      <c r="N10" s="296" t="str">
        <f>CONCATENATE(M10, "-%")</f>
        <v>O4-%</v>
      </c>
      <c r="O10" s="40" t="s">
        <v>12</v>
      </c>
      <c r="P10" s="296" t="str">
        <f>CONCATENATE(O10, "-%")</f>
        <v>O5-%</v>
      </c>
      <c r="Q10" s="40" t="s">
        <v>13</v>
      </c>
      <c r="R10" s="296" t="str">
        <f>CONCATENATE(Q10, "-%")</f>
        <v>O6-%</v>
      </c>
      <c r="S10" s="40" t="s">
        <v>14</v>
      </c>
      <c r="T10" s="296" t="str">
        <f>CONCATENATE(S10, "-%")</f>
        <v>O7-%</v>
      </c>
      <c r="U10" s="40" t="s">
        <v>15</v>
      </c>
      <c r="V10" s="296" t="str">
        <f>CONCATENATE(U10, "-%")</f>
        <v>O8-%</v>
      </c>
      <c r="W10" s="40" t="s">
        <v>16</v>
      </c>
      <c r="X10" s="296" t="str">
        <f>CONCATENATE(W10, "-%")</f>
        <v>O9-%</v>
      </c>
      <c r="Y10" s="40" t="s">
        <v>17</v>
      </c>
      <c r="Z10" s="294" t="str">
        <f>CONCATENATE(Y10, "-%")</f>
        <v>O10-%</v>
      </c>
      <c r="AA10" s="12"/>
      <c r="AB10" s="328"/>
      <c r="AC10" s="15"/>
      <c r="AD10" s="300"/>
      <c r="AE10" s="17"/>
      <c r="AF10" s="292"/>
      <c r="AG10" s="246"/>
      <c r="AH10" s="247"/>
      <c r="AI10" s="247"/>
      <c r="AJ10" s="248"/>
      <c r="AK10" s="14"/>
    </row>
    <row r="11" spans="2:37" ht="15" customHeight="1">
      <c r="B11" s="287" t="s">
        <v>153</v>
      </c>
      <c r="C11" s="288"/>
      <c r="D11" s="288"/>
      <c r="E11" s="64"/>
      <c r="F11" s="75" t="b">
        <v>1</v>
      </c>
      <c r="G11" s="298" t="s">
        <v>63</v>
      </c>
      <c r="H11" s="297"/>
      <c r="I11" s="293" t="s">
        <v>63</v>
      </c>
      <c r="J11" s="297"/>
      <c r="K11" s="293" t="s">
        <v>63</v>
      </c>
      <c r="L11" s="297"/>
      <c r="M11" s="293" t="s">
        <v>63</v>
      </c>
      <c r="N11" s="297"/>
      <c r="O11" s="293" t="s">
        <v>63</v>
      </c>
      <c r="P11" s="297"/>
      <c r="Q11" s="293" t="s">
        <v>63</v>
      </c>
      <c r="R11" s="297"/>
      <c r="S11" s="293" t="s">
        <v>63</v>
      </c>
      <c r="T11" s="297"/>
      <c r="U11" s="293" t="s">
        <v>63</v>
      </c>
      <c r="V11" s="297"/>
      <c r="W11" s="293" t="s">
        <v>63</v>
      </c>
      <c r="X11" s="297"/>
      <c r="Y11" s="293" t="s">
        <v>63</v>
      </c>
      <c r="Z11" s="295"/>
      <c r="AA11" s="12"/>
      <c r="AB11" s="328"/>
      <c r="AC11" s="15"/>
      <c r="AD11" s="300"/>
      <c r="AE11" s="17"/>
      <c r="AF11" s="292"/>
      <c r="AG11" s="246"/>
      <c r="AH11" s="247"/>
      <c r="AI11" s="247"/>
      <c r="AJ11" s="248"/>
      <c r="AK11" s="14"/>
    </row>
    <row r="12" spans="2:37" ht="15" customHeight="1" thickBot="1">
      <c r="B12" s="289" t="s">
        <v>154</v>
      </c>
      <c r="C12" s="290"/>
      <c r="D12" s="290"/>
      <c r="E12" s="73"/>
      <c r="F12" s="75" t="b">
        <v>1</v>
      </c>
      <c r="G12" s="298"/>
      <c r="H12" s="297"/>
      <c r="I12" s="293"/>
      <c r="J12" s="297"/>
      <c r="K12" s="293"/>
      <c r="L12" s="297"/>
      <c r="M12" s="293"/>
      <c r="N12" s="297"/>
      <c r="O12" s="293"/>
      <c r="P12" s="297"/>
      <c r="Q12" s="293"/>
      <c r="R12" s="297"/>
      <c r="S12" s="293"/>
      <c r="T12" s="297"/>
      <c r="U12" s="293"/>
      <c r="V12" s="297"/>
      <c r="W12" s="293"/>
      <c r="X12" s="297"/>
      <c r="Y12" s="293"/>
      <c r="Z12" s="295"/>
      <c r="AA12" s="12"/>
      <c r="AB12" s="328"/>
      <c r="AC12" s="15"/>
      <c r="AD12" s="300"/>
      <c r="AE12" s="17"/>
      <c r="AF12" s="292"/>
      <c r="AG12" s="246"/>
      <c r="AH12" s="247"/>
      <c r="AI12" s="247"/>
      <c r="AJ12" s="248"/>
      <c r="AK12" s="14"/>
    </row>
    <row r="13" spans="2:37" ht="15" customHeight="1" thickTop="1" thickBot="1">
      <c r="B13" s="71"/>
      <c r="C13" s="71"/>
      <c r="D13" s="71"/>
      <c r="E13" s="71"/>
      <c r="F13" s="19"/>
      <c r="G13" s="298"/>
      <c r="H13" s="297"/>
      <c r="I13" s="293"/>
      <c r="J13" s="297"/>
      <c r="K13" s="293"/>
      <c r="L13" s="297"/>
      <c r="M13" s="293"/>
      <c r="N13" s="297"/>
      <c r="O13" s="293"/>
      <c r="P13" s="297"/>
      <c r="Q13" s="293"/>
      <c r="R13" s="297"/>
      <c r="S13" s="293"/>
      <c r="T13" s="297"/>
      <c r="U13" s="293"/>
      <c r="V13" s="297"/>
      <c r="W13" s="293"/>
      <c r="X13" s="297"/>
      <c r="Y13" s="293"/>
      <c r="Z13" s="295"/>
      <c r="AA13" s="12"/>
      <c r="AB13" s="328"/>
      <c r="AC13" s="15"/>
      <c r="AD13" s="300"/>
      <c r="AE13" s="17"/>
      <c r="AF13" s="292"/>
      <c r="AG13" s="246"/>
      <c r="AH13" s="247"/>
      <c r="AI13" s="247"/>
      <c r="AJ13" s="248"/>
      <c r="AK13" s="14"/>
    </row>
    <row r="14" spans="2:37" ht="14.4" customHeight="1" thickTop="1" thickBot="1">
      <c r="B14" s="285" t="s">
        <v>39</v>
      </c>
      <c r="C14" s="319" t="s">
        <v>40</v>
      </c>
      <c r="D14" s="319" t="s">
        <v>41</v>
      </c>
      <c r="E14" s="317" t="s">
        <v>42</v>
      </c>
      <c r="F14" s="19"/>
      <c r="G14" s="298"/>
      <c r="H14" s="297"/>
      <c r="I14" s="293"/>
      <c r="J14" s="297"/>
      <c r="K14" s="293"/>
      <c r="L14" s="297"/>
      <c r="M14" s="293"/>
      <c r="N14" s="297"/>
      <c r="O14" s="293"/>
      <c r="P14" s="297"/>
      <c r="Q14" s="293"/>
      <c r="R14" s="297"/>
      <c r="S14" s="293"/>
      <c r="T14" s="297"/>
      <c r="U14" s="293"/>
      <c r="V14" s="297"/>
      <c r="W14" s="293"/>
      <c r="X14" s="297"/>
      <c r="Y14" s="293"/>
      <c r="Z14" s="295"/>
      <c r="AA14" s="12"/>
      <c r="AB14" s="328"/>
      <c r="AC14" s="15"/>
      <c r="AD14" s="300"/>
      <c r="AE14" s="17"/>
      <c r="AF14" s="292"/>
      <c r="AG14" s="246"/>
      <c r="AH14" s="247"/>
      <c r="AI14" s="247"/>
      <c r="AJ14" s="248"/>
      <c r="AK14" s="14"/>
    </row>
    <row r="15" spans="2:37" ht="15" customHeight="1" thickTop="1" thickBot="1">
      <c r="B15" s="286"/>
      <c r="C15" s="320"/>
      <c r="D15" s="320"/>
      <c r="E15" s="318"/>
      <c r="F15" s="19"/>
      <c r="G15" s="55">
        <v>0.33333333333333331</v>
      </c>
      <c r="H15" s="297"/>
      <c r="I15" s="56">
        <v>0.33333333333333331</v>
      </c>
      <c r="J15" s="297"/>
      <c r="K15" s="56">
        <v>0.33333333333333331</v>
      </c>
      <c r="L15" s="297"/>
      <c r="M15" s="56"/>
      <c r="N15" s="297"/>
      <c r="O15" s="56"/>
      <c r="P15" s="297"/>
      <c r="Q15" s="56"/>
      <c r="R15" s="297"/>
      <c r="S15" s="56"/>
      <c r="T15" s="297"/>
      <c r="U15" s="56"/>
      <c r="V15" s="297"/>
      <c r="W15" s="56"/>
      <c r="X15" s="297"/>
      <c r="Y15" s="56"/>
      <c r="Z15" s="295"/>
      <c r="AA15" s="12"/>
      <c r="AB15" s="328"/>
      <c r="AC15" s="15"/>
      <c r="AD15" s="300"/>
      <c r="AE15" s="17"/>
      <c r="AF15" s="292"/>
      <c r="AG15" s="246"/>
      <c r="AH15" s="247"/>
      <c r="AI15" s="247"/>
      <c r="AJ15" s="248"/>
      <c r="AK15" s="14"/>
    </row>
    <row r="16" spans="2:37" ht="15" customHeight="1" thickTop="1" thickBot="1">
      <c r="B16" s="45" t="s">
        <v>39</v>
      </c>
      <c r="C16" s="46" t="s">
        <v>47</v>
      </c>
      <c r="D16" s="46" t="s">
        <v>47</v>
      </c>
      <c r="E16" s="47" t="s">
        <v>47</v>
      </c>
      <c r="F16" s="27">
        <f>COUNTIF(G16,"&gt;0")
 +COUNTIF(I16,"&gt;0")
 +COUNTIF(K16,"&gt;0")
 +COUNTIF(M16,"&gt;0")
 +COUNTIF(O16,"&gt;0")
 +COUNTIF(Q16,"&gt;0")
 +COUNTIF(S16,"&gt;0")
 +COUNTIF(U16,"&gt;0")
 +COUNTIF(W16,"&gt;0")
 +COUNTIF(Y16,"&gt;0")</f>
        <v>3</v>
      </c>
      <c r="G16" s="48">
        <v>100</v>
      </c>
      <c r="H16" s="49">
        <f>IF(
    OR(OR(C16="",D16="",E16=""),ISBLANK($G$16)),
    "-",
    IF(
        AND($G$16&lt;&gt;"",G16=""),
        "INC",
  G16/$G$16
    )
)</f>
        <v>1</v>
      </c>
      <c r="I16" s="50">
        <v>50</v>
      </c>
      <c r="J16" s="49">
        <f>IF(
 OR(OR(C16="",D16="",E16=""),ISBLANK($I$16)),
 "-",
 IF(
        AND($I$16&lt;&gt;"",I16=""),
        "INC",
  I16/$I$16
 )
)</f>
        <v>1</v>
      </c>
      <c r="K16" s="50">
        <v>100</v>
      </c>
      <c r="L16" s="49">
        <f>IF(
 OR(OR(C16="",D16="",E16=""),ISBLANK($K$16)),
 "-",
 IF(
        AND($K$16&lt;&gt;"",K16=""),
  "INC",
  K16/$K$16
 )
)</f>
        <v>1</v>
      </c>
      <c r="M16" s="50"/>
      <c r="N16" s="49" t="str">
        <f>IF(
 OR(OR(C16="",D16="",E16=""),ISBLANK($M$16)),
 "-",
 IF(
        AND($M$16&lt;&gt;"",M16=""),
        "INC",
  M16/$M$16
 )
)</f>
        <v>-</v>
      </c>
      <c r="O16" s="50"/>
      <c r="P16" s="49" t="str">
        <f>IF(
 OR(OR(C16="",D16="",E16=""),ISBLANK($O$16)),
 "-",
 IF(
        AND($O$16&lt;&gt;"",O16=""),
        "INC",
  O16/$O$16
 )
)</f>
        <v>-</v>
      </c>
      <c r="Q16" s="50"/>
      <c r="R16" s="49" t="str">
        <f>IF(
 OR(OR(C16="",D16="",E16=""),ISBLANK($Q$16)),
 "-",
 IF(
        AND($Q$16&lt;&gt;"",Q16=""),
        "INC",
  Q16/$Q$16
 )
)</f>
        <v>-</v>
      </c>
      <c r="S16" s="50"/>
      <c r="T16" s="49" t="str">
        <f>IF(
 OR(OR(C16="",D16="",E16=""),ISBLANK($S$16)),
 "-",
 IF(
        AND($S$16&lt;&gt;"",S16=""),
        "INC",
  S16/$S$16
 )
)</f>
        <v>-</v>
      </c>
      <c r="U16" s="50"/>
      <c r="V16" s="49" t="str">
        <f>IF(
 OR(OR(C16="",D16="",E16=""),ISBLANK($U$16)),
 "-",
 IF(
        AND($U$16&lt;&gt;"",U16=""),
        "INC",
  U16/$U$16
 )
)</f>
        <v>-</v>
      </c>
      <c r="W16" s="50"/>
      <c r="X16" s="49" t="str">
        <f>IF(
 OR(OR(C16="",D16="",E16=""),ISBLANK($W$16)),
 "-",
 IF(
        AND($W$16&lt;&gt;"",W16=""),
        "INC",
  W16/$W$16
 )
)</f>
        <v>-</v>
      </c>
      <c r="Y16" s="50"/>
      <c r="Z16" s="51" t="str">
        <f>IF(
 OR(OR(C16="",D16="",E16=""),ISBLANK($Y$16)),
 "-",
 IF(
        AND($Y$16&lt;&gt;"",Y16=""),
        "INC",
  Y16/$Y$16
 )
)</f>
        <v>-</v>
      </c>
      <c r="AA16" s="13"/>
      <c r="AB16" s="52">
        <f>IF(
 OR(
  H16 = "INC",
  J16 = "INC",
  L16 = "INC",
  N16 = "INC",
  P16 = "INC",
  R16 = "INC",
  T16 = "INC",
  V16 = "INC",
  X16 = "INC",
  Z16 = "INC"
 ), "INC",
 IF(
  AND(
   H16 = "-",
   J16 = "-",
   L16 = "-",
   N16 = "-",
   P16 = "-",
   R16 = "-",
   T16 = "-",
   V16 = "-",
   X16 = "-",
   Z16 = "-"
  ), "-",
  (
   IFERROR((H16 * $G$15), 0) +
   IFERROR((J16 * $I$15), 0) +
   IFERROR((L16 * $K$15), 0) +
   IFERROR((N16 * $M$15), 0) +
   IFERROR((P16 * $O$15), 0) +
   IFERROR((R16 * $Q$15), 0) +
   IFERROR((T16 * $S$15), 0) +
   IFERROR((V16 * $U$15), 0) +
   IFERROR((X16 * $W$15), 0) +
   IFERROR((Z16 * $Y$15), 0)
  ) * 100
 )
)</f>
        <v>100</v>
      </c>
      <c r="AC16" s="16"/>
      <c r="AD16" s="53">
        <f>IF(C16="","-", (VLOOKUP(C16, 'Attendance Sheet'!$C$7:$F$62,4,FALSE)))</f>
        <v>0</v>
      </c>
      <c r="AE16" s="18"/>
      <c r="AF16" s="54">
        <f>IF(AB16 = "INC",
 "INC",
 IF(
  AB16 = "-",
  "-",
  VLOOKUP(AB16,'Grade Config'!$C$6:$D$37,2)
 )
)</f>
        <v>1</v>
      </c>
      <c r="AG16" s="249"/>
      <c r="AH16" s="250"/>
      <c r="AI16" s="250"/>
      <c r="AJ16" s="251"/>
      <c r="AK16" s="14"/>
    </row>
    <row r="17" spans="2:37" ht="15" customHeight="1" thickTop="1">
      <c r="B17" s="43">
        <v>1</v>
      </c>
      <c r="C17" s="58">
        <f>IF('Attendance Sheet'!C8 = "", "", 'Attendance Sheet'!C8)</f>
        <v>20214581735</v>
      </c>
      <c r="D17" s="58" t="str">
        <f>IF('Attendance Sheet'!D8 = "", "", 'Attendance Sheet'!D8)</f>
        <v>TestOnly1</v>
      </c>
      <c r="E17" s="60" t="str">
        <f>IF('Attendance Sheet'!E8 = "", "", 'Attendance Sheet'!E8)</f>
        <v>abcd</v>
      </c>
      <c r="F17" s="19"/>
      <c r="G17" s="44">
        <v>105</v>
      </c>
      <c r="H17" s="79">
        <f t="shared" ref="H17:H71" si="0">IF(
    OR(OR(C17="",D17="",E17=""),ISBLANK($G$16)),
    "-",
    IF(
        AND($G$16&lt;&gt;"",G17=""),
        "INC",
  G17/$G$16
    )
)</f>
        <v>1.05</v>
      </c>
      <c r="I17" s="20">
        <v>50</v>
      </c>
      <c r="J17" s="79">
        <f t="shared" ref="J17:J71" si="1">IF(
 OR(OR(C17="",D17="",E17=""),ISBLANK($I$16)),
 "-",
 IF(
        AND($I$16&lt;&gt;"",I17=""),
        "INC",
  I17/$I$16
 )
)</f>
        <v>1</v>
      </c>
      <c r="K17" s="20">
        <v>88</v>
      </c>
      <c r="L17" s="79">
        <f t="shared" ref="L17:L71" si="2">IF(
 OR(OR(C17="",D17="",E17=""),ISBLANK($K$16)),
 "-",
 IF(
        AND($K$16&lt;&gt;"",K17=""),
  "INC",
  K17/$K$16
 )
)</f>
        <v>0.88</v>
      </c>
      <c r="M17" s="20"/>
      <c r="N17" s="79" t="str">
        <f t="shared" ref="N17:N71" si="3">IF(
 OR(OR(C17="",D17="",E17=""),ISBLANK($M$16)),
 "-",
 IF(
        AND($M$16&lt;&gt;"",M17=""),
        "INC",
  M17/$M$16
 )
)</f>
        <v>-</v>
      </c>
      <c r="O17" s="20"/>
      <c r="P17" s="79" t="str">
        <f t="shared" ref="P17:P71" si="4">IF(
 OR(OR(C17="",D17="",E17=""),ISBLANK($O$16)),
 "-",
 IF(
        AND($O$16&lt;&gt;"",O17=""),
        "INC",
  O17/$O$16
 )
)</f>
        <v>-</v>
      </c>
      <c r="Q17" s="20"/>
      <c r="R17" s="79" t="str">
        <f t="shared" ref="R17:R71" si="5">IF(
 OR(OR(C17="",D17="",E17=""),ISBLANK($Q$16)),
 "-",
 IF(
        AND($Q$16&lt;&gt;"",Q17=""),
        "INC",
  Q17/$Q$16
 )
)</f>
        <v>-</v>
      </c>
      <c r="S17" s="20"/>
      <c r="T17" s="79" t="str">
        <f t="shared" ref="T17:T71" si="6">IF(
 OR(OR(C17="",D17="",E17=""),ISBLANK($S$16)),
 "-",
 IF(
        AND($S$16&lt;&gt;"",S17=""),
        "INC",
  S17/$S$16
 )
)</f>
        <v>-</v>
      </c>
      <c r="U17" s="20"/>
      <c r="V17" s="79" t="str">
        <f t="shared" ref="V17:V71" si="7">IF(
 OR(OR(C17="",D17="",E17=""),ISBLANK($U$16)),
 "-",
 IF(
        AND($U$16&lt;&gt;"",U17=""),
        "INC",
  U17/$U$16
 )
)</f>
        <v>-</v>
      </c>
      <c r="W17" s="20"/>
      <c r="X17" s="79" t="str">
        <f t="shared" ref="X17:X71" si="8">IF(
 OR(OR(C17="",D17="",E17=""),ISBLANK($W$16)),
 "-",
 IF(
        AND($W$16&lt;&gt;"",W17=""),
        "INC",
  W17/$W$16
 )
)</f>
        <v>-</v>
      </c>
      <c r="Y17" s="20"/>
      <c r="Z17" s="80" t="str">
        <f t="shared" ref="Z17:Z71" si="9">IF(
 OR(OR(C17="",D17="",E17=""),ISBLANK($Y$16)),
 "-",
 IF(
        AND($Y$16&lt;&gt;"",Y17=""),
        "INC",
  Y17/$Y$16
 )
)</f>
        <v>-</v>
      </c>
      <c r="AA17" s="13"/>
      <c r="AB17" s="81">
        <f t="shared" ref="AB17:AB71" si="10">IF(
 OR(
  H17 = "INC",
  J17 = "INC",
  L17 = "INC",
  N17 = "INC",
  P17 = "INC",
  R17 = "INC",
  T17 = "INC",
  V17 = "INC",
  X17 = "INC",
  Z17 = "INC"
 ), "INC",
 IF(
  AND(
   H17 = "-",
   J17 = "-",
   L17 = "-",
   N17 = "-",
   P17 = "-",
   R17 = "-",
   T17 = "-",
   V17 = "-",
   X17 = "-",
   Z17 = "-"
  ), "-",
  (
   IFERROR((H17 * $G$15), 0) +
   IFERROR((J17 * $I$15), 0) +
   IFERROR((L17 * $K$15), 0) +
   IFERROR((N17 * $M$15), 0) +
   IFERROR((P17 * $O$15), 0) +
   IFERROR((R17 * $Q$15), 0) +
   IFERROR((T17 * $S$15), 0) +
   IFERROR((V17 * $U$15), 0) +
   IFERROR((X17 * $W$15), 0) +
   IFERROR((Z17 * $Y$15), 0)
  ) * 100
 )
)</f>
        <v>97.666666666666671</v>
      </c>
      <c r="AC17" s="16"/>
      <c r="AD17" s="38">
        <f>IF(C17="","-", (VLOOKUP(C17, 'Attendance Sheet'!$C$7:$F$62,4,FALSE)))</f>
        <v>2</v>
      </c>
      <c r="AE17" s="18"/>
      <c r="AF17" s="82">
        <f>IF(AB17 = "INC",
 "INC",
 IF(
  AB17 = "-",
  "-",
  VLOOKUP(AB17,'Grade Config'!$C$6:$D$37,2)
 )
)</f>
        <v>1.1000000000000001</v>
      </c>
      <c r="AG17" s="252"/>
      <c r="AH17" s="253"/>
      <c r="AI17" s="253"/>
      <c r="AJ17" s="254"/>
      <c r="AK17" s="14"/>
    </row>
    <row r="18" spans="2:37">
      <c r="B18" s="33">
        <v>2</v>
      </c>
      <c r="C18" s="57">
        <f>IF('Attendance Sheet'!C9 = "", "", 'Attendance Sheet'!C9)</f>
        <v>20301234567</v>
      </c>
      <c r="D18" s="57" t="str">
        <f>IF('Attendance Sheet'!D9 = "", "", 'Attendance Sheet'!D9)</f>
        <v>TestOnly2</v>
      </c>
      <c r="E18" s="61" t="str">
        <f>IF('Attendance Sheet'!E9 = "", "", 'Attendance Sheet'!E9)</f>
        <v>efg</v>
      </c>
      <c r="F18" s="19"/>
      <c r="G18" s="34">
        <v>78</v>
      </c>
      <c r="H18" s="68">
        <f t="shared" si="0"/>
        <v>0.78</v>
      </c>
      <c r="I18" s="397">
        <v>49</v>
      </c>
      <c r="J18" s="68">
        <f t="shared" si="1"/>
        <v>0.98</v>
      </c>
      <c r="K18" s="397">
        <v>60</v>
      </c>
      <c r="L18" s="68">
        <f t="shared" si="2"/>
        <v>0.6</v>
      </c>
      <c r="M18" s="397"/>
      <c r="N18" s="68" t="str">
        <f t="shared" si="3"/>
        <v>-</v>
      </c>
      <c r="O18" s="397"/>
      <c r="P18" s="68" t="str">
        <f t="shared" si="4"/>
        <v>-</v>
      </c>
      <c r="Q18" s="397"/>
      <c r="R18" s="68" t="str">
        <f t="shared" si="5"/>
        <v>-</v>
      </c>
      <c r="S18" s="397"/>
      <c r="T18" s="68" t="str">
        <f t="shared" si="6"/>
        <v>-</v>
      </c>
      <c r="U18" s="397"/>
      <c r="V18" s="68" t="str">
        <f t="shared" si="7"/>
        <v>-</v>
      </c>
      <c r="W18" s="397"/>
      <c r="X18" s="68" t="str">
        <f t="shared" si="8"/>
        <v>-</v>
      </c>
      <c r="Y18" s="397"/>
      <c r="Z18" s="69" t="str">
        <f t="shared" si="9"/>
        <v>-</v>
      </c>
      <c r="AA18" s="13"/>
      <c r="AB18" s="85">
        <f t="shared" si="10"/>
        <v>78.666666666666657</v>
      </c>
      <c r="AC18" s="16"/>
      <c r="AD18" s="36">
        <f>IF(C18="","-", (VLOOKUP(C18, 'Attendance Sheet'!$C$7:$F$62,4,FALSE)))</f>
        <v>1</v>
      </c>
      <c r="AE18" s="18"/>
      <c r="AF18" s="86">
        <f>IF(AB18 = "INC",
 "INC",
 IF(
  AB18 = "-",
  "-",
  VLOOKUP(AB18,'Grade Config'!$C$6:$D$37,2)
 )
)</f>
        <v>2.1</v>
      </c>
      <c r="AG18" s="234"/>
      <c r="AH18" s="235"/>
      <c r="AI18" s="235"/>
      <c r="AJ18" s="236"/>
      <c r="AK18" s="14"/>
    </row>
    <row r="19" spans="2:37">
      <c r="B19" s="33">
        <v>3</v>
      </c>
      <c r="C19" s="57" t="str">
        <f>IF('Attendance Sheet'!C10 = "", "", 'Attendance Sheet'!C10)</f>
        <v>20351111111</v>
      </c>
      <c r="D19" s="57" t="str">
        <f>IF('Attendance Sheet'!D10 = "", "", 'Attendance Sheet'!D10)</f>
        <v>TestOnly3</v>
      </c>
      <c r="E19" s="61" t="str">
        <f>IF('Attendance Sheet'!E10 = "", "", 'Attendance Sheet'!E10)</f>
        <v>hijkl</v>
      </c>
      <c r="F19" s="19"/>
      <c r="G19" s="34">
        <v>60</v>
      </c>
      <c r="H19" s="68">
        <f t="shared" si="0"/>
        <v>0.6</v>
      </c>
      <c r="I19" s="397">
        <v>30</v>
      </c>
      <c r="J19" s="68">
        <f t="shared" si="1"/>
        <v>0.6</v>
      </c>
      <c r="K19" s="397">
        <v>60</v>
      </c>
      <c r="L19" s="68">
        <f t="shared" si="2"/>
        <v>0.6</v>
      </c>
      <c r="M19" s="397"/>
      <c r="N19" s="68" t="str">
        <f t="shared" si="3"/>
        <v>-</v>
      </c>
      <c r="O19" s="397"/>
      <c r="P19" s="68" t="str">
        <f t="shared" si="4"/>
        <v>-</v>
      </c>
      <c r="Q19" s="397"/>
      <c r="R19" s="68" t="str">
        <f t="shared" si="5"/>
        <v>-</v>
      </c>
      <c r="S19" s="397"/>
      <c r="T19" s="68" t="str">
        <f t="shared" si="6"/>
        <v>-</v>
      </c>
      <c r="U19" s="397"/>
      <c r="V19" s="68" t="str">
        <f t="shared" si="7"/>
        <v>-</v>
      </c>
      <c r="W19" s="397"/>
      <c r="X19" s="68" t="str">
        <f t="shared" si="8"/>
        <v>-</v>
      </c>
      <c r="Y19" s="397"/>
      <c r="Z19" s="69" t="str">
        <f t="shared" si="9"/>
        <v>-</v>
      </c>
      <c r="AA19" s="13"/>
      <c r="AB19" s="85">
        <f t="shared" si="10"/>
        <v>60</v>
      </c>
      <c r="AC19" s="16"/>
      <c r="AD19" s="36">
        <f>IF(C19="","-", (VLOOKUP(C19, 'Attendance Sheet'!$C$7:$F$62,4,FALSE)))</f>
        <v>0</v>
      </c>
      <c r="AE19" s="18"/>
      <c r="AF19" s="86">
        <f>IF(AB19 = "INC",
 "INC",
 IF(
  AB19 = "-",
  "-",
  VLOOKUP(AB19,'Grade Config'!$C$6:$D$37,2)
 )
)</f>
        <v>3</v>
      </c>
      <c r="AG19" s="234"/>
      <c r="AH19" s="235"/>
      <c r="AI19" s="235"/>
      <c r="AJ19" s="236"/>
      <c r="AK19" s="14"/>
    </row>
    <row r="20" spans="2:37">
      <c r="B20" s="33">
        <v>4</v>
      </c>
      <c r="C20" s="57" t="str">
        <f>IF('Attendance Sheet'!C11 = "", "", 'Attendance Sheet'!C11)</f>
        <v>20259876554</v>
      </c>
      <c r="D20" s="57" t="str">
        <f>IF('Attendance Sheet'!D11 = "", "", 'Attendance Sheet'!D11)</f>
        <v>TestOnly4</v>
      </c>
      <c r="E20" s="61" t="str">
        <f>IF('Attendance Sheet'!E11 = "", "", 'Attendance Sheet'!E11)</f>
        <v>qweasd</v>
      </c>
      <c r="F20" s="19"/>
      <c r="G20" s="34">
        <v>50</v>
      </c>
      <c r="H20" s="68">
        <f t="shared" si="0"/>
        <v>0.5</v>
      </c>
      <c r="I20" s="397">
        <v>15</v>
      </c>
      <c r="J20" s="68">
        <f t="shared" si="1"/>
        <v>0.3</v>
      </c>
      <c r="K20" s="397">
        <v>30</v>
      </c>
      <c r="L20" s="68">
        <f t="shared" si="2"/>
        <v>0.3</v>
      </c>
      <c r="M20" s="397"/>
      <c r="N20" s="68" t="str">
        <f t="shared" si="3"/>
        <v>-</v>
      </c>
      <c r="O20" s="397"/>
      <c r="P20" s="68" t="str">
        <f t="shared" si="4"/>
        <v>-</v>
      </c>
      <c r="Q20" s="397"/>
      <c r="R20" s="68" t="str">
        <f t="shared" si="5"/>
        <v>-</v>
      </c>
      <c r="S20" s="397"/>
      <c r="T20" s="68" t="str">
        <f t="shared" si="6"/>
        <v>-</v>
      </c>
      <c r="U20" s="397"/>
      <c r="V20" s="68" t="str">
        <f t="shared" si="7"/>
        <v>-</v>
      </c>
      <c r="W20" s="397"/>
      <c r="X20" s="68" t="str">
        <f t="shared" si="8"/>
        <v>-</v>
      </c>
      <c r="Y20" s="397"/>
      <c r="Z20" s="69" t="str">
        <f t="shared" si="9"/>
        <v>-</v>
      </c>
      <c r="AA20" s="13"/>
      <c r="AB20" s="85">
        <f t="shared" si="10"/>
        <v>36.666666666666664</v>
      </c>
      <c r="AC20" s="16"/>
      <c r="AD20" s="36">
        <f>IF(C20="","-", (VLOOKUP(C20, 'Attendance Sheet'!$C$7:$F$62,4,FALSE)))</f>
        <v>1</v>
      </c>
      <c r="AE20" s="18"/>
      <c r="AF20" s="86">
        <f>IF(AB20 = "INC",
 "INC",
 IF(
  AB20 = "-",
  "-",
  VLOOKUP(AB20,'Grade Config'!$C$6:$D$37,2)
 )
)</f>
        <v>3.4</v>
      </c>
      <c r="AG20" s="234"/>
      <c r="AH20" s="235"/>
      <c r="AI20" s="235"/>
      <c r="AJ20" s="236"/>
      <c r="AK20" s="14"/>
    </row>
    <row r="21" spans="2:37">
      <c r="B21" s="33">
        <v>5</v>
      </c>
      <c r="C21" s="57" t="str">
        <f>IF('Attendance Sheet'!C12 = "", "", 'Attendance Sheet'!C12)</f>
        <v>20251234567</v>
      </c>
      <c r="D21" s="57" t="str">
        <f>IF('Attendance Sheet'!D12 = "", "", 'Attendance Sheet'!D12)</f>
        <v>TestOnly5</v>
      </c>
      <c r="E21" s="61" t="str">
        <f>IF('Attendance Sheet'!E12 = "", "", 'Attendance Sheet'!E12)</f>
        <v>wkoqwke</v>
      </c>
      <c r="F21" s="19"/>
      <c r="G21" s="34"/>
      <c r="H21" s="68" t="str">
        <f t="shared" si="0"/>
        <v>INC</v>
      </c>
      <c r="I21" s="397">
        <v>5</v>
      </c>
      <c r="J21" s="68">
        <f t="shared" si="1"/>
        <v>0.1</v>
      </c>
      <c r="K21" s="397">
        <v>6</v>
      </c>
      <c r="L21" s="68">
        <f t="shared" si="2"/>
        <v>0.06</v>
      </c>
      <c r="M21" s="397"/>
      <c r="N21" s="68" t="str">
        <f t="shared" si="3"/>
        <v>-</v>
      </c>
      <c r="O21" s="397"/>
      <c r="P21" s="68" t="str">
        <f t="shared" si="4"/>
        <v>-</v>
      </c>
      <c r="Q21" s="397"/>
      <c r="R21" s="68" t="str">
        <f t="shared" si="5"/>
        <v>-</v>
      </c>
      <c r="S21" s="397"/>
      <c r="T21" s="68" t="str">
        <f t="shared" si="6"/>
        <v>-</v>
      </c>
      <c r="U21" s="397"/>
      <c r="V21" s="68" t="str">
        <f t="shared" si="7"/>
        <v>-</v>
      </c>
      <c r="W21" s="397"/>
      <c r="X21" s="68" t="str">
        <f t="shared" si="8"/>
        <v>-</v>
      </c>
      <c r="Y21" s="397"/>
      <c r="Z21" s="69" t="str">
        <f t="shared" si="9"/>
        <v>-</v>
      </c>
      <c r="AA21" s="13"/>
      <c r="AB21" s="85" t="str">
        <f t="shared" si="10"/>
        <v>INC</v>
      </c>
      <c r="AC21" s="16"/>
      <c r="AD21" s="36">
        <f>IF(C21="","-", (VLOOKUP(C21, 'Attendance Sheet'!$C$7:$F$62,4,FALSE)))</f>
        <v>0</v>
      </c>
      <c r="AE21" s="18"/>
      <c r="AF21" s="86" t="str">
        <f>IF(AB21 = "INC",
 "INC",
 IF(
  AB21 = "-",
  "-",
  VLOOKUP(AB21,'Grade Config'!$C$6:$D$37,2)
 )
)</f>
        <v>INC</v>
      </c>
      <c r="AG21" s="234"/>
      <c r="AH21" s="235"/>
      <c r="AI21" s="235"/>
      <c r="AJ21" s="236"/>
      <c r="AK21" s="14"/>
    </row>
    <row r="22" spans="2:37">
      <c r="B22" s="33">
        <v>6</v>
      </c>
      <c r="C22" s="57" t="str">
        <f>IF('Attendance Sheet'!C13 = "", "", 'Attendance Sheet'!C13)</f>
        <v/>
      </c>
      <c r="D22" s="57" t="str">
        <f>IF('Attendance Sheet'!D13 = "", "", 'Attendance Sheet'!D13)</f>
        <v/>
      </c>
      <c r="E22" s="61" t="str">
        <f>IF('Attendance Sheet'!E13 = "", "", 'Attendance Sheet'!E13)</f>
        <v/>
      </c>
      <c r="F22" s="19"/>
      <c r="G22" s="34"/>
      <c r="H22" s="68" t="str">
        <f t="shared" si="0"/>
        <v>-</v>
      </c>
      <c r="I22" s="397"/>
      <c r="J22" s="68" t="str">
        <f t="shared" si="1"/>
        <v>-</v>
      </c>
      <c r="K22" s="397"/>
      <c r="L22" s="68" t="str">
        <f t="shared" si="2"/>
        <v>-</v>
      </c>
      <c r="M22" s="397"/>
      <c r="N22" s="68" t="str">
        <f t="shared" si="3"/>
        <v>-</v>
      </c>
      <c r="O22" s="397"/>
      <c r="P22" s="68" t="str">
        <f t="shared" si="4"/>
        <v>-</v>
      </c>
      <c r="Q22" s="397"/>
      <c r="R22" s="68" t="str">
        <f t="shared" si="5"/>
        <v>-</v>
      </c>
      <c r="S22" s="397"/>
      <c r="T22" s="68" t="str">
        <f t="shared" si="6"/>
        <v>-</v>
      </c>
      <c r="U22" s="397"/>
      <c r="V22" s="68" t="str">
        <f t="shared" si="7"/>
        <v>-</v>
      </c>
      <c r="W22" s="397"/>
      <c r="X22" s="68" t="str">
        <f t="shared" si="8"/>
        <v>-</v>
      </c>
      <c r="Y22" s="397"/>
      <c r="Z22" s="69" t="str">
        <f t="shared" si="9"/>
        <v>-</v>
      </c>
      <c r="AA22" s="13"/>
      <c r="AB22" s="85" t="str">
        <f t="shared" si="10"/>
        <v>-</v>
      </c>
      <c r="AC22" s="16"/>
      <c r="AD22" s="36" t="str">
        <f>IF(C22="","-", (VLOOKUP(C22, 'Attendance Sheet'!$C$7:$F$62,4,FALSE)))</f>
        <v>-</v>
      </c>
      <c r="AE22" s="18"/>
      <c r="AF22" s="86" t="str">
        <f>IF(AB22 = "INC",
 "INC",
 IF(
  AB22 = "-",
  "-",
  VLOOKUP(AB22,'Grade Config'!$C$6:$D$37,2)
 )
)</f>
        <v>-</v>
      </c>
      <c r="AG22" s="234"/>
      <c r="AH22" s="235"/>
      <c r="AI22" s="235"/>
      <c r="AJ22" s="236"/>
      <c r="AK22" s="14"/>
    </row>
    <row r="23" spans="2:37">
      <c r="B23" s="33">
        <v>7</v>
      </c>
      <c r="C23" s="57" t="str">
        <f>IF('Attendance Sheet'!C14 = "", "", 'Attendance Sheet'!C14)</f>
        <v/>
      </c>
      <c r="D23" s="57" t="str">
        <f>IF('Attendance Sheet'!D14 = "", "", 'Attendance Sheet'!D14)</f>
        <v/>
      </c>
      <c r="E23" s="61" t="str">
        <f>IF('Attendance Sheet'!E14 = "", "", 'Attendance Sheet'!E14)</f>
        <v/>
      </c>
      <c r="F23" s="19"/>
      <c r="G23" s="34"/>
      <c r="H23" s="68" t="str">
        <f t="shared" si="0"/>
        <v>-</v>
      </c>
      <c r="I23" s="397"/>
      <c r="J23" s="68" t="str">
        <f t="shared" si="1"/>
        <v>-</v>
      </c>
      <c r="K23" s="397"/>
      <c r="L23" s="68" t="str">
        <f t="shared" si="2"/>
        <v>-</v>
      </c>
      <c r="M23" s="397"/>
      <c r="N23" s="68" t="str">
        <f t="shared" si="3"/>
        <v>-</v>
      </c>
      <c r="O23" s="397"/>
      <c r="P23" s="68" t="str">
        <f t="shared" si="4"/>
        <v>-</v>
      </c>
      <c r="Q23" s="397"/>
      <c r="R23" s="68" t="str">
        <f t="shared" si="5"/>
        <v>-</v>
      </c>
      <c r="S23" s="397"/>
      <c r="T23" s="68" t="str">
        <f t="shared" si="6"/>
        <v>-</v>
      </c>
      <c r="U23" s="397"/>
      <c r="V23" s="68" t="str">
        <f t="shared" si="7"/>
        <v>-</v>
      </c>
      <c r="W23" s="397"/>
      <c r="X23" s="68" t="str">
        <f t="shared" si="8"/>
        <v>-</v>
      </c>
      <c r="Y23" s="397"/>
      <c r="Z23" s="69" t="str">
        <f t="shared" si="9"/>
        <v>-</v>
      </c>
      <c r="AA23" s="13"/>
      <c r="AB23" s="85" t="str">
        <f t="shared" si="10"/>
        <v>-</v>
      </c>
      <c r="AC23" s="16"/>
      <c r="AD23" s="36" t="str">
        <f>IF(C23="","-", (VLOOKUP(C23, 'Attendance Sheet'!$C$7:$F$62,4,FALSE)))</f>
        <v>-</v>
      </c>
      <c r="AE23" s="18"/>
      <c r="AF23" s="86" t="str">
        <f>IF(AB23 = "INC",
 "INC",
 IF(
  AB23 = "-",
  "-",
  VLOOKUP(AB23,'Grade Config'!$C$6:$D$37,2)
 )
)</f>
        <v>-</v>
      </c>
      <c r="AG23" s="234"/>
      <c r="AH23" s="235"/>
      <c r="AI23" s="235"/>
      <c r="AJ23" s="236"/>
      <c r="AK23" s="14"/>
    </row>
    <row r="24" spans="2:37">
      <c r="B24" s="33">
        <v>8</v>
      </c>
      <c r="C24" s="57" t="str">
        <f>IF('Attendance Sheet'!C15 = "", "", 'Attendance Sheet'!C15)</f>
        <v/>
      </c>
      <c r="D24" s="57" t="str">
        <f>IF('Attendance Sheet'!D15 = "", "", 'Attendance Sheet'!D15)</f>
        <v/>
      </c>
      <c r="E24" s="61" t="str">
        <f>IF('Attendance Sheet'!E15 = "", "", 'Attendance Sheet'!E15)</f>
        <v/>
      </c>
      <c r="F24" s="19"/>
      <c r="G24" s="34"/>
      <c r="H24" s="68" t="str">
        <f t="shared" si="0"/>
        <v>-</v>
      </c>
      <c r="I24" s="397"/>
      <c r="J24" s="68" t="str">
        <f t="shared" si="1"/>
        <v>-</v>
      </c>
      <c r="K24" s="397"/>
      <c r="L24" s="68" t="str">
        <f t="shared" si="2"/>
        <v>-</v>
      </c>
      <c r="M24" s="397"/>
      <c r="N24" s="68" t="str">
        <f t="shared" si="3"/>
        <v>-</v>
      </c>
      <c r="O24" s="397"/>
      <c r="P24" s="68" t="str">
        <f t="shared" si="4"/>
        <v>-</v>
      </c>
      <c r="Q24" s="397"/>
      <c r="R24" s="68" t="str">
        <f t="shared" si="5"/>
        <v>-</v>
      </c>
      <c r="S24" s="397"/>
      <c r="T24" s="68" t="str">
        <f t="shared" si="6"/>
        <v>-</v>
      </c>
      <c r="U24" s="397"/>
      <c r="V24" s="68" t="str">
        <f t="shared" si="7"/>
        <v>-</v>
      </c>
      <c r="W24" s="397"/>
      <c r="X24" s="68" t="str">
        <f t="shared" si="8"/>
        <v>-</v>
      </c>
      <c r="Y24" s="397"/>
      <c r="Z24" s="69" t="str">
        <f t="shared" si="9"/>
        <v>-</v>
      </c>
      <c r="AA24" s="13"/>
      <c r="AB24" s="85" t="str">
        <f t="shared" si="10"/>
        <v>-</v>
      </c>
      <c r="AC24" s="16"/>
      <c r="AD24" s="36" t="str">
        <f>IF(C24="","-", (VLOOKUP(C24, 'Attendance Sheet'!$C$7:$F$62,4,FALSE)))</f>
        <v>-</v>
      </c>
      <c r="AE24" s="18"/>
      <c r="AF24" s="86" t="str">
        <f>IF(AB24 = "INC",
 "INC",
 IF(
  AB24 = "-",
  "-",
  VLOOKUP(AB24,'Grade Config'!$C$6:$D$37,2)
 )
)</f>
        <v>-</v>
      </c>
      <c r="AG24" s="234"/>
      <c r="AH24" s="235"/>
      <c r="AI24" s="235"/>
      <c r="AJ24" s="236"/>
      <c r="AK24" s="14"/>
    </row>
    <row r="25" spans="2:37">
      <c r="B25" s="33">
        <v>9</v>
      </c>
      <c r="C25" s="57" t="str">
        <f>IF('Attendance Sheet'!C16 = "", "", 'Attendance Sheet'!C16)</f>
        <v/>
      </c>
      <c r="D25" s="57" t="str">
        <f>IF('Attendance Sheet'!D16 = "", "", 'Attendance Sheet'!D16)</f>
        <v/>
      </c>
      <c r="E25" s="61" t="str">
        <f>IF('Attendance Sheet'!E16 = "", "", 'Attendance Sheet'!E16)</f>
        <v/>
      </c>
      <c r="F25" s="19"/>
      <c r="G25" s="34"/>
      <c r="H25" s="68" t="str">
        <f t="shared" si="0"/>
        <v>-</v>
      </c>
      <c r="I25" s="397"/>
      <c r="J25" s="68" t="str">
        <f t="shared" si="1"/>
        <v>-</v>
      </c>
      <c r="K25" s="397"/>
      <c r="L25" s="68" t="str">
        <f t="shared" si="2"/>
        <v>-</v>
      </c>
      <c r="M25" s="397"/>
      <c r="N25" s="68" t="str">
        <f t="shared" si="3"/>
        <v>-</v>
      </c>
      <c r="O25" s="397"/>
      <c r="P25" s="68" t="str">
        <f t="shared" si="4"/>
        <v>-</v>
      </c>
      <c r="Q25" s="397"/>
      <c r="R25" s="68" t="str">
        <f t="shared" si="5"/>
        <v>-</v>
      </c>
      <c r="S25" s="397"/>
      <c r="T25" s="68" t="str">
        <f t="shared" si="6"/>
        <v>-</v>
      </c>
      <c r="U25" s="397"/>
      <c r="V25" s="68" t="str">
        <f t="shared" si="7"/>
        <v>-</v>
      </c>
      <c r="W25" s="397"/>
      <c r="X25" s="68" t="str">
        <f t="shared" si="8"/>
        <v>-</v>
      </c>
      <c r="Y25" s="397"/>
      <c r="Z25" s="69" t="str">
        <f t="shared" si="9"/>
        <v>-</v>
      </c>
      <c r="AA25" s="13"/>
      <c r="AB25" s="85" t="str">
        <f t="shared" si="10"/>
        <v>-</v>
      </c>
      <c r="AC25" s="16"/>
      <c r="AD25" s="36" t="str">
        <f>IF(C25="","-", (VLOOKUP(C25, 'Attendance Sheet'!$C$7:$F$62,4,FALSE)))</f>
        <v>-</v>
      </c>
      <c r="AE25" s="18"/>
      <c r="AF25" s="86" t="str">
        <f>IF(AB25 = "INC",
 "INC",
 IF(
  AB25 = "-",
  "-",
  VLOOKUP(AB25,'Grade Config'!$C$6:$D$37,2)
 )
)</f>
        <v>-</v>
      </c>
      <c r="AG25" s="234"/>
      <c r="AH25" s="235"/>
      <c r="AI25" s="235"/>
      <c r="AJ25" s="236"/>
      <c r="AK25" s="14"/>
    </row>
    <row r="26" spans="2:37">
      <c r="B26" s="33">
        <v>10</v>
      </c>
      <c r="C26" s="57" t="str">
        <f>IF('Attendance Sheet'!C17 = "", "", 'Attendance Sheet'!C17)</f>
        <v/>
      </c>
      <c r="D26" s="57" t="str">
        <f>IF('Attendance Sheet'!D17 = "", "", 'Attendance Sheet'!D17)</f>
        <v/>
      </c>
      <c r="E26" s="61" t="str">
        <f>IF('Attendance Sheet'!E17 = "", "", 'Attendance Sheet'!E17)</f>
        <v/>
      </c>
      <c r="F26" s="19"/>
      <c r="G26" s="34"/>
      <c r="H26" s="68" t="str">
        <f t="shared" si="0"/>
        <v>-</v>
      </c>
      <c r="I26" s="397"/>
      <c r="J26" s="68" t="str">
        <f t="shared" si="1"/>
        <v>-</v>
      </c>
      <c r="K26" s="397"/>
      <c r="L26" s="68" t="str">
        <f t="shared" si="2"/>
        <v>-</v>
      </c>
      <c r="M26" s="397"/>
      <c r="N26" s="68" t="str">
        <f t="shared" si="3"/>
        <v>-</v>
      </c>
      <c r="O26" s="397"/>
      <c r="P26" s="68" t="str">
        <f t="shared" si="4"/>
        <v>-</v>
      </c>
      <c r="Q26" s="397"/>
      <c r="R26" s="68" t="str">
        <f t="shared" si="5"/>
        <v>-</v>
      </c>
      <c r="S26" s="397"/>
      <c r="T26" s="68" t="str">
        <f t="shared" si="6"/>
        <v>-</v>
      </c>
      <c r="U26" s="397"/>
      <c r="V26" s="68" t="str">
        <f t="shared" si="7"/>
        <v>-</v>
      </c>
      <c r="W26" s="397"/>
      <c r="X26" s="68" t="str">
        <f t="shared" si="8"/>
        <v>-</v>
      </c>
      <c r="Y26" s="397"/>
      <c r="Z26" s="69" t="str">
        <f t="shared" si="9"/>
        <v>-</v>
      </c>
      <c r="AA26" s="13"/>
      <c r="AB26" s="85" t="str">
        <f t="shared" si="10"/>
        <v>-</v>
      </c>
      <c r="AC26" s="16"/>
      <c r="AD26" s="36" t="str">
        <f>IF(C26="","-", (VLOOKUP(C26, 'Attendance Sheet'!$C$7:$F$62,4,FALSE)))</f>
        <v>-</v>
      </c>
      <c r="AE26" s="18"/>
      <c r="AF26" s="86" t="str">
        <f>IF(AB26 = "INC",
 "INC",
 IF(
  AB26 = "-",
  "-",
  VLOOKUP(AB26,'Grade Config'!$C$6:$D$37,2)
 )
)</f>
        <v>-</v>
      </c>
      <c r="AG26" s="234"/>
      <c r="AH26" s="235"/>
      <c r="AI26" s="235"/>
      <c r="AJ26" s="236"/>
      <c r="AK26" s="14"/>
    </row>
    <row r="27" spans="2:37">
      <c r="B27" s="33">
        <v>11</v>
      </c>
      <c r="C27" s="57" t="str">
        <f>IF('Attendance Sheet'!C18 = "", "", 'Attendance Sheet'!C18)</f>
        <v/>
      </c>
      <c r="D27" s="57" t="str">
        <f>IF('Attendance Sheet'!D18 = "", "", 'Attendance Sheet'!D18)</f>
        <v/>
      </c>
      <c r="E27" s="61" t="str">
        <f>IF('Attendance Sheet'!E18 = "", "", 'Attendance Sheet'!E18)</f>
        <v/>
      </c>
      <c r="F27" s="19"/>
      <c r="G27" s="34"/>
      <c r="H27" s="68" t="str">
        <f t="shared" si="0"/>
        <v>-</v>
      </c>
      <c r="I27" s="397"/>
      <c r="J27" s="68" t="str">
        <f t="shared" si="1"/>
        <v>-</v>
      </c>
      <c r="K27" s="397"/>
      <c r="L27" s="68" t="str">
        <f t="shared" si="2"/>
        <v>-</v>
      </c>
      <c r="M27" s="397"/>
      <c r="N27" s="68" t="str">
        <f t="shared" si="3"/>
        <v>-</v>
      </c>
      <c r="O27" s="397"/>
      <c r="P27" s="68" t="str">
        <f t="shared" si="4"/>
        <v>-</v>
      </c>
      <c r="Q27" s="397"/>
      <c r="R27" s="68" t="str">
        <f t="shared" si="5"/>
        <v>-</v>
      </c>
      <c r="S27" s="397"/>
      <c r="T27" s="68" t="str">
        <f t="shared" si="6"/>
        <v>-</v>
      </c>
      <c r="U27" s="397"/>
      <c r="V27" s="68" t="str">
        <f t="shared" si="7"/>
        <v>-</v>
      </c>
      <c r="W27" s="397"/>
      <c r="X27" s="68" t="str">
        <f t="shared" si="8"/>
        <v>-</v>
      </c>
      <c r="Y27" s="397"/>
      <c r="Z27" s="69" t="str">
        <f t="shared" si="9"/>
        <v>-</v>
      </c>
      <c r="AA27" s="13"/>
      <c r="AB27" s="85" t="str">
        <f t="shared" si="10"/>
        <v>-</v>
      </c>
      <c r="AC27" s="16"/>
      <c r="AD27" s="36" t="str">
        <f>IF(C27="","-", (VLOOKUP(C27, 'Attendance Sheet'!$C$7:$F$62,4,FALSE)))</f>
        <v>-</v>
      </c>
      <c r="AE27" s="18"/>
      <c r="AF27" s="86" t="str">
        <f>IF(AB27 = "INC",
 "INC",
 IF(
  AB27 = "-",
  "-",
  VLOOKUP(AB27,'Grade Config'!$C$6:$D$37,2)
 )
)</f>
        <v>-</v>
      </c>
      <c r="AG27" s="234"/>
      <c r="AH27" s="235"/>
      <c r="AI27" s="235"/>
      <c r="AJ27" s="236"/>
      <c r="AK27" s="14"/>
    </row>
    <row r="28" spans="2:37">
      <c r="B28" s="33">
        <v>12</v>
      </c>
      <c r="C28" s="57" t="str">
        <f>IF('Attendance Sheet'!C19 = "", "", 'Attendance Sheet'!C19)</f>
        <v/>
      </c>
      <c r="D28" s="57" t="str">
        <f>IF('Attendance Sheet'!D19 = "", "", 'Attendance Sheet'!D19)</f>
        <v/>
      </c>
      <c r="E28" s="61" t="str">
        <f>IF('Attendance Sheet'!E19 = "", "", 'Attendance Sheet'!E19)</f>
        <v/>
      </c>
      <c r="F28" s="19"/>
      <c r="G28" s="34"/>
      <c r="H28" s="68" t="str">
        <f t="shared" si="0"/>
        <v>-</v>
      </c>
      <c r="I28" s="397"/>
      <c r="J28" s="68" t="str">
        <f t="shared" si="1"/>
        <v>-</v>
      </c>
      <c r="K28" s="397"/>
      <c r="L28" s="68" t="str">
        <f t="shared" si="2"/>
        <v>-</v>
      </c>
      <c r="M28" s="397"/>
      <c r="N28" s="68" t="str">
        <f t="shared" si="3"/>
        <v>-</v>
      </c>
      <c r="O28" s="397"/>
      <c r="P28" s="68" t="str">
        <f t="shared" si="4"/>
        <v>-</v>
      </c>
      <c r="Q28" s="397"/>
      <c r="R28" s="68" t="str">
        <f t="shared" si="5"/>
        <v>-</v>
      </c>
      <c r="S28" s="397"/>
      <c r="T28" s="68" t="str">
        <f t="shared" si="6"/>
        <v>-</v>
      </c>
      <c r="U28" s="397"/>
      <c r="V28" s="68" t="str">
        <f t="shared" si="7"/>
        <v>-</v>
      </c>
      <c r="W28" s="397"/>
      <c r="X28" s="68" t="str">
        <f t="shared" si="8"/>
        <v>-</v>
      </c>
      <c r="Y28" s="397"/>
      <c r="Z28" s="69" t="str">
        <f t="shared" si="9"/>
        <v>-</v>
      </c>
      <c r="AA28" s="13"/>
      <c r="AB28" s="85" t="str">
        <f t="shared" si="10"/>
        <v>-</v>
      </c>
      <c r="AC28" s="16"/>
      <c r="AD28" s="36" t="str">
        <f>IF(C28="","-", (VLOOKUP(C28, 'Attendance Sheet'!$C$7:$F$62,4,FALSE)))</f>
        <v>-</v>
      </c>
      <c r="AE28" s="18"/>
      <c r="AF28" s="86" t="str">
        <f>IF(AB28 = "INC",
 "INC",
 IF(
  AB28 = "-",
  "-",
  VLOOKUP(AB28,'Grade Config'!$C$6:$D$37,2)
 )
)</f>
        <v>-</v>
      </c>
      <c r="AG28" s="234"/>
      <c r="AH28" s="235"/>
      <c r="AI28" s="235"/>
      <c r="AJ28" s="236"/>
      <c r="AK28" s="14"/>
    </row>
    <row r="29" spans="2:37">
      <c r="B29" s="33">
        <v>13</v>
      </c>
      <c r="C29" s="57" t="str">
        <f>IF('Attendance Sheet'!C20 = "", "", 'Attendance Sheet'!C20)</f>
        <v/>
      </c>
      <c r="D29" s="57" t="str">
        <f>IF('Attendance Sheet'!D20 = "", "", 'Attendance Sheet'!D20)</f>
        <v/>
      </c>
      <c r="E29" s="61" t="str">
        <f>IF('Attendance Sheet'!E20 = "", "", 'Attendance Sheet'!E20)</f>
        <v/>
      </c>
      <c r="F29" s="19"/>
      <c r="G29" s="34"/>
      <c r="H29" s="68" t="str">
        <f t="shared" si="0"/>
        <v>-</v>
      </c>
      <c r="I29" s="397"/>
      <c r="J29" s="68" t="str">
        <f t="shared" si="1"/>
        <v>-</v>
      </c>
      <c r="K29" s="397"/>
      <c r="L29" s="68" t="str">
        <f t="shared" si="2"/>
        <v>-</v>
      </c>
      <c r="M29" s="397"/>
      <c r="N29" s="68" t="str">
        <f t="shared" si="3"/>
        <v>-</v>
      </c>
      <c r="O29" s="397"/>
      <c r="P29" s="68" t="str">
        <f t="shared" si="4"/>
        <v>-</v>
      </c>
      <c r="Q29" s="397"/>
      <c r="R29" s="68" t="str">
        <f t="shared" si="5"/>
        <v>-</v>
      </c>
      <c r="S29" s="397"/>
      <c r="T29" s="68" t="str">
        <f t="shared" si="6"/>
        <v>-</v>
      </c>
      <c r="U29" s="397"/>
      <c r="V29" s="68" t="str">
        <f t="shared" si="7"/>
        <v>-</v>
      </c>
      <c r="W29" s="397"/>
      <c r="X29" s="68" t="str">
        <f t="shared" si="8"/>
        <v>-</v>
      </c>
      <c r="Y29" s="397"/>
      <c r="Z29" s="69" t="str">
        <f t="shared" si="9"/>
        <v>-</v>
      </c>
      <c r="AA29" s="13"/>
      <c r="AB29" s="85" t="str">
        <f t="shared" si="10"/>
        <v>-</v>
      </c>
      <c r="AC29" s="16"/>
      <c r="AD29" s="36" t="str">
        <f>IF(C29="","-", (VLOOKUP(C29, 'Attendance Sheet'!$C$7:$F$62,4,FALSE)))</f>
        <v>-</v>
      </c>
      <c r="AE29" s="18"/>
      <c r="AF29" s="86" t="str">
        <f>IF(AB29 = "INC",
 "INC",
 IF(
  AB29 = "-",
  "-",
  VLOOKUP(AB29,'Grade Config'!$C$6:$D$37,2)
 )
)</f>
        <v>-</v>
      </c>
      <c r="AG29" s="234"/>
      <c r="AH29" s="235"/>
      <c r="AI29" s="235"/>
      <c r="AJ29" s="236"/>
      <c r="AK29" s="14"/>
    </row>
    <row r="30" spans="2:37">
      <c r="B30" s="33">
        <v>14</v>
      </c>
      <c r="C30" s="57" t="str">
        <f>IF('Attendance Sheet'!C21 = "", "", 'Attendance Sheet'!C21)</f>
        <v/>
      </c>
      <c r="D30" s="57" t="str">
        <f>IF('Attendance Sheet'!D21 = "", "", 'Attendance Sheet'!D21)</f>
        <v/>
      </c>
      <c r="E30" s="61" t="str">
        <f>IF('Attendance Sheet'!E21 = "", "", 'Attendance Sheet'!E21)</f>
        <v/>
      </c>
      <c r="F30" s="19"/>
      <c r="G30" s="34"/>
      <c r="H30" s="68" t="str">
        <f t="shared" si="0"/>
        <v>-</v>
      </c>
      <c r="I30" s="397"/>
      <c r="J30" s="68" t="str">
        <f t="shared" si="1"/>
        <v>-</v>
      </c>
      <c r="K30" s="397"/>
      <c r="L30" s="68" t="str">
        <f t="shared" si="2"/>
        <v>-</v>
      </c>
      <c r="M30" s="397"/>
      <c r="N30" s="68" t="str">
        <f t="shared" si="3"/>
        <v>-</v>
      </c>
      <c r="O30" s="397"/>
      <c r="P30" s="68" t="str">
        <f t="shared" si="4"/>
        <v>-</v>
      </c>
      <c r="Q30" s="397"/>
      <c r="R30" s="68" t="str">
        <f t="shared" si="5"/>
        <v>-</v>
      </c>
      <c r="S30" s="397"/>
      <c r="T30" s="68" t="str">
        <f t="shared" si="6"/>
        <v>-</v>
      </c>
      <c r="U30" s="397"/>
      <c r="V30" s="68" t="str">
        <f t="shared" si="7"/>
        <v>-</v>
      </c>
      <c r="W30" s="397"/>
      <c r="X30" s="68" t="str">
        <f t="shared" si="8"/>
        <v>-</v>
      </c>
      <c r="Y30" s="397"/>
      <c r="Z30" s="69" t="str">
        <f t="shared" si="9"/>
        <v>-</v>
      </c>
      <c r="AA30" s="13"/>
      <c r="AB30" s="85" t="str">
        <f t="shared" si="10"/>
        <v>-</v>
      </c>
      <c r="AC30" s="16"/>
      <c r="AD30" s="36" t="str">
        <f>IF(C30="","-", (VLOOKUP(C30, 'Attendance Sheet'!$C$7:$F$62,4,FALSE)))</f>
        <v>-</v>
      </c>
      <c r="AE30" s="18"/>
      <c r="AF30" s="86" t="str">
        <f>IF(AB30 = "INC",
 "INC",
 IF(
  AB30 = "-",
  "-",
  VLOOKUP(AB30,'Grade Config'!$C$6:$D$37,2)
 )
)</f>
        <v>-</v>
      </c>
      <c r="AG30" s="234"/>
      <c r="AH30" s="235"/>
      <c r="AI30" s="235"/>
      <c r="AJ30" s="236"/>
      <c r="AK30" s="14"/>
    </row>
    <row r="31" spans="2:37">
      <c r="B31" s="33">
        <v>15</v>
      </c>
      <c r="C31" s="57" t="str">
        <f>IF('Attendance Sheet'!C22 = "", "", 'Attendance Sheet'!C22)</f>
        <v/>
      </c>
      <c r="D31" s="57" t="str">
        <f>IF('Attendance Sheet'!D22 = "", "", 'Attendance Sheet'!D22)</f>
        <v/>
      </c>
      <c r="E31" s="61" t="str">
        <f>IF('Attendance Sheet'!E22 = "", "", 'Attendance Sheet'!E22)</f>
        <v/>
      </c>
      <c r="F31" s="19"/>
      <c r="G31" s="34"/>
      <c r="H31" s="68" t="str">
        <f t="shared" si="0"/>
        <v>-</v>
      </c>
      <c r="I31" s="397"/>
      <c r="J31" s="68" t="str">
        <f t="shared" si="1"/>
        <v>-</v>
      </c>
      <c r="K31" s="397"/>
      <c r="L31" s="68" t="str">
        <f t="shared" si="2"/>
        <v>-</v>
      </c>
      <c r="M31" s="397"/>
      <c r="N31" s="68" t="str">
        <f t="shared" si="3"/>
        <v>-</v>
      </c>
      <c r="O31" s="397"/>
      <c r="P31" s="68" t="str">
        <f t="shared" si="4"/>
        <v>-</v>
      </c>
      <c r="Q31" s="397"/>
      <c r="R31" s="68" t="str">
        <f t="shared" si="5"/>
        <v>-</v>
      </c>
      <c r="S31" s="397"/>
      <c r="T31" s="68" t="str">
        <f t="shared" si="6"/>
        <v>-</v>
      </c>
      <c r="U31" s="397"/>
      <c r="V31" s="68" t="str">
        <f t="shared" si="7"/>
        <v>-</v>
      </c>
      <c r="W31" s="397"/>
      <c r="X31" s="68" t="str">
        <f t="shared" si="8"/>
        <v>-</v>
      </c>
      <c r="Y31" s="397"/>
      <c r="Z31" s="69" t="str">
        <f t="shared" si="9"/>
        <v>-</v>
      </c>
      <c r="AA31" s="13"/>
      <c r="AB31" s="85" t="str">
        <f t="shared" si="10"/>
        <v>-</v>
      </c>
      <c r="AC31" s="16"/>
      <c r="AD31" s="36" t="str">
        <f>IF(C31="","-", (VLOOKUP(C31, 'Attendance Sheet'!$C$7:$F$62,4,FALSE)))</f>
        <v>-</v>
      </c>
      <c r="AE31" s="18"/>
      <c r="AF31" s="86" t="str">
        <f>IF(AB31 = "INC",
 "INC",
 IF(
  AB31 = "-",
  "-",
  VLOOKUP(AB31,'Grade Config'!$C$6:$D$37,2)
 )
)</f>
        <v>-</v>
      </c>
      <c r="AG31" s="234"/>
      <c r="AH31" s="235"/>
      <c r="AI31" s="235"/>
      <c r="AJ31" s="236"/>
      <c r="AK31" s="14"/>
    </row>
    <row r="32" spans="2:37">
      <c r="B32" s="33">
        <v>16</v>
      </c>
      <c r="C32" s="57" t="str">
        <f>IF('Attendance Sheet'!C23 = "", "", 'Attendance Sheet'!C23)</f>
        <v/>
      </c>
      <c r="D32" s="57" t="str">
        <f>IF('Attendance Sheet'!D23 = "", "", 'Attendance Sheet'!D23)</f>
        <v/>
      </c>
      <c r="E32" s="61" t="str">
        <f>IF('Attendance Sheet'!E23 = "", "", 'Attendance Sheet'!E23)</f>
        <v/>
      </c>
      <c r="F32" s="19"/>
      <c r="G32" s="34"/>
      <c r="H32" s="68" t="str">
        <f t="shared" si="0"/>
        <v>-</v>
      </c>
      <c r="I32" s="397"/>
      <c r="J32" s="68" t="str">
        <f t="shared" si="1"/>
        <v>-</v>
      </c>
      <c r="K32" s="397"/>
      <c r="L32" s="68" t="str">
        <f t="shared" si="2"/>
        <v>-</v>
      </c>
      <c r="M32" s="397"/>
      <c r="N32" s="68" t="str">
        <f t="shared" si="3"/>
        <v>-</v>
      </c>
      <c r="O32" s="397"/>
      <c r="P32" s="68" t="str">
        <f t="shared" si="4"/>
        <v>-</v>
      </c>
      <c r="Q32" s="397"/>
      <c r="R32" s="68" t="str">
        <f t="shared" si="5"/>
        <v>-</v>
      </c>
      <c r="S32" s="397"/>
      <c r="T32" s="68" t="str">
        <f t="shared" si="6"/>
        <v>-</v>
      </c>
      <c r="U32" s="397"/>
      <c r="V32" s="68" t="str">
        <f t="shared" si="7"/>
        <v>-</v>
      </c>
      <c r="W32" s="397"/>
      <c r="X32" s="68" t="str">
        <f t="shared" si="8"/>
        <v>-</v>
      </c>
      <c r="Y32" s="397"/>
      <c r="Z32" s="69" t="str">
        <f t="shared" si="9"/>
        <v>-</v>
      </c>
      <c r="AA32" s="13"/>
      <c r="AB32" s="85" t="str">
        <f t="shared" si="10"/>
        <v>-</v>
      </c>
      <c r="AC32" s="16"/>
      <c r="AD32" s="36" t="str">
        <f>IF(C32="","-", (VLOOKUP(C32, 'Attendance Sheet'!$C$7:$F$62,4,FALSE)))</f>
        <v>-</v>
      </c>
      <c r="AE32" s="18"/>
      <c r="AF32" s="86" t="str">
        <f>IF(AB32 = "INC",
 "INC",
 IF(
  AB32 = "-",
  "-",
  VLOOKUP(AB32,'Grade Config'!$C$6:$D$37,2)
 )
)</f>
        <v>-</v>
      </c>
      <c r="AG32" s="234"/>
      <c r="AH32" s="235"/>
      <c r="AI32" s="235"/>
      <c r="AJ32" s="236"/>
      <c r="AK32" s="28"/>
    </row>
    <row r="33" spans="2:37">
      <c r="B33" s="33">
        <v>17</v>
      </c>
      <c r="C33" s="57" t="str">
        <f>IF('Attendance Sheet'!C24 = "", "", 'Attendance Sheet'!C24)</f>
        <v/>
      </c>
      <c r="D33" s="57" t="str">
        <f>IF('Attendance Sheet'!D24 = "", "", 'Attendance Sheet'!D24)</f>
        <v/>
      </c>
      <c r="E33" s="61" t="str">
        <f>IF('Attendance Sheet'!E24 = "", "", 'Attendance Sheet'!E24)</f>
        <v/>
      </c>
      <c r="F33" s="19"/>
      <c r="G33" s="34"/>
      <c r="H33" s="68" t="str">
        <f t="shared" si="0"/>
        <v>-</v>
      </c>
      <c r="I33" s="397"/>
      <c r="J33" s="68" t="str">
        <f t="shared" si="1"/>
        <v>-</v>
      </c>
      <c r="K33" s="397"/>
      <c r="L33" s="68" t="str">
        <f t="shared" si="2"/>
        <v>-</v>
      </c>
      <c r="M33" s="397"/>
      <c r="N33" s="68" t="str">
        <f t="shared" si="3"/>
        <v>-</v>
      </c>
      <c r="O33" s="397"/>
      <c r="P33" s="68" t="str">
        <f t="shared" si="4"/>
        <v>-</v>
      </c>
      <c r="Q33" s="397"/>
      <c r="R33" s="68" t="str">
        <f t="shared" si="5"/>
        <v>-</v>
      </c>
      <c r="S33" s="397"/>
      <c r="T33" s="68" t="str">
        <f t="shared" si="6"/>
        <v>-</v>
      </c>
      <c r="U33" s="397"/>
      <c r="V33" s="68" t="str">
        <f t="shared" si="7"/>
        <v>-</v>
      </c>
      <c r="W33" s="397"/>
      <c r="X33" s="68" t="str">
        <f t="shared" si="8"/>
        <v>-</v>
      </c>
      <c r="Y33" s="397"/>
      <c r="Z33" s="69" t="str">
        <f t="shared" si="9"/>
        <v>-</v>
      </c>
      <c r="AA33" s="13"/>
      <c r="AB33" s="85" t="str">
        <f t="shared" si="10"/>
        <v>-</v>
      </c>
      <c r="AC33" s="16"/>
      <c r="AD33" s="36" t="str">
        <f>IF(C33="","-", (VLOOKUP(C33, 'Attendance Sheet'!$C$7:$F$62,4,FALSE)))</f>
        <v>-</v>
      </c>
      <c r="AE33" s="18"/>
      <c r="AF33" s="86" t="str">
        <f>IF(AB33 = "INC",
 "INC",
 IF(
  AB33 = "-",
  "-",
  VLOOKUP(AB33,'Grade Config'!$C$6:$D$37,2)
 )
)</f>
        <v>-</v>
      </c>
      <c r="AG33" s="234"/>
      <c r="AH33" s="235"/>
      <c r="AI33" s="235"/>
      <c r="AJ33" s="236"/>
      <c r="AK33" s="14"/>
    </row>
    <row r="34" spans="2:37">
      <c r="B34" s="33">
        <v>18</v>
      </c>
      <c r="C34" s="57" t="str">
        <f>IF('Attendance Sheet'!C25 = "", "", 'Attendance Sheet'!C25)</f>
        <v/>
      </c>
      <c r="D34" s="57" t="str">
        <f>IF('Attendance Sheet'!D25 = "", "", 'Attendance Sheet'!D25)</f>
        <v/>
      </c>
      <c r="E34" s="61" t="str">
        <f>IF('Attendance Sheet'!E25 = "", "", 'Attendance Sheet'!E25)</f>
        <v/>
      </c>
      <c r="F34" s="19"/>
      <c r="G34" s="34"/>
      <c r="H34" s="68" t="str">
        <f t="shared" si="0"/>
        <v>-</v>
      </c>
      <c r="I34" s="397"/>
      <c r="J34" s="68" t="str">
        <f t="shared" si="1"/>
        <v>-</v>
      </c>
      <c r="K34" s="397"/>
      <c r="L34" s="68" t="str">
        <f t="shared" si="2"/>
        <v>-</v>
      </c>
      <c r="M34" s="397"/>
      <c r="N34" s="68" t="str">
        <f t="shared" si="3"/>
        <v>-</v>
      </c>
      <c r="O34" s="397"/>
      <c r="P34" s="68" t="str">
        <f t="shared" si="4"/>
        <v>-</v>
      </c>
      <c r="Q34" s="397"/>
      <c r="R34" s="68" t="str">
        <f t="shared" si="5"/>
        <v>-</v>
      </c>
      <c r="S34" s="397"/>
      <c r="T34" s="68" t="str">
        <f t="shared" si="6"/>
        <v>-</v>
      </c>
      <c r="U34" s="397"/>
      <c r="V34" s="68" t="str">
        <f t="shared" si="7"/>
        <v>-</v>
      </c>
      <c r="W34" s="397"/>
      <c r="X34" s="68" t="str">
        <f t="shared" si="8"/>
        <v>-</v>
      </c>
      <c r="Y34" s="397"/>
      <c r="Z34" s="69" t="str">
        <f t="shared" si="9"/>
        <v>-</v>
      </c>
      <c r="AA34" s="13"/>
      <c r="AB34" s="85" t="str">
        <f t="shared" si="10"/>
        <v>-</v>
      </c>
      <c r="AC34" s="16"/>
      <c r="AD34" s="36" t="str">
        <f>IF(C34="","-", (VLOOKUP(C34, 'Attendance Sheet'!$C$7:$F$62,4,FALSE)))</f>
        <v>-</v>
      </c>
      <c r="AE34" s="18"/>
      <c r="AF34" s="86" t="str">
        <f>IF(AB34 = "INC",
 "INC",
 IF(
  AB34 = "-",
  "-",
  VLOOKUP(AB34,'Grade Config'!$C$6:$D$37,2)
 )
)</f>
        <v>-</v>
      </c>
      <c r="AG34" s="234"/>
      <c r="AH34" s="235"/>
      <c r="AI34" s="235"/>
      <c r="AJ34" s="236"/>
      <c r="AK34" s="14"/>
    </row>
    <row r="35" spans="2:37">
      <c r="B35" s="33">
        <v>19</v>
      </c>
      <c r="C35" s="57" t="str">
        <f>IF('Attendance Sheet'!C26 = "", "", 'Attendance Sheet'!C26)</f>
        <v/>
      </c>
      <c r="D35" s="57" t="str">
        <f>IF('Attendance Sheet'!D26 = "", "", 'Attendance Sheet'!D26)</f>
        <v/>
      </c>
      <c r="E35" s="61" t="str">
        <f>IF('Attendance Sheet'!E26 = "", "", 'Attendance Sheet'!E26)</f>
        <v/>
      </c>
      <c r="F35" s="19"/>
      <c r="G35" s="34"/>
      <c r="H35" s="68" t="str">
        <f t="shared" si="0"/>
        <v>-</v>
      </c>
      <c r="I35" s="397"/>
      <c r="J35" s="68" t="str">
        <f t="shared" si="1"/>
        <v>-</v>
      </c>
      <c r="K35" s="397"/>
      <c r="L35" s="68" t="str">
        <f t="shared" si="2"/>
        <v>-</v>
      </c>
      <c r="M35" s="397"/>
      <c r="N35" s="68" t="str">
        <f t="shared" si="3"/>
        <v>-</v>
      </c>
      <c r="O35" s="397"/>
      <c r="P35" s="68" t="str">
        <f t="shared" si="4"/>
        <v>-</v>
      </c>
      <c r="Q35" s="397"/>
      <c r="R35" s="68" t="str">
        <f t="shared" si="5"/>
        <v>-</v>
      </c>
      <c r="S35" s="397"/>
      <c r="T35" s="68" t="str">
        <f t="shared" si="6"/>
        <v>-</v>
      </c>
      <c r="U35" s="397"/>
      <c r="V35" s="68" t="str">
        <f t="shared" si="7"/>
        <v>-</v>
      </c>
      <c r="W35" s="397"/>
      <c r="X35" s="68" t="str">
        <f t="shared" si="8"/>
        <v>-</v>
      </c>
      <c r="Y35" s="397"/>
      <c r="Z35" s="69" t="str">
        <f t="shared" si="9"/>
        <v>-</v>
      </c>
      <c r="AA35" s="13"/>
      <c r="AB35" s="85" t="str">
        <f t="shared" si="10"/>
        <v>-</v>
      </c>
      <c r="AC35" s="16"/>
      <c r="AD35" s="36" t="str">
        <f>IF(C35="","-", (VLOOKUP(C35, 'Attendance Sheet'!$C$7:$F$62,4,FALSE)))</f>
        <v>-</v>
      </c>
      <c r="AE35" s="18"/>
      <c r="AF35" s="86" t="str">
        <f>IF(AB35 = "INC",
 "INC",
 IF(
  AB35 = "-",
  "-",
  VLOOKUP(AB35,'Grade Config'!$C$6:$D$37,2)
 )
)</f>
        <v>-</v>
      </c>
      <c r="AG35" s="234"/>
      <c r="AH35" s="235"/>
      <c r="AI35" s="235"/>
      <c r="AJ35" s="236"/>
      <c r="AK35" s="14"/>
    </row>
    <row r="36" spans="2:37">
      <c r="B36" s="33">
        <v>20</v>
      </c>
      <c r="C36" s="57" t="str">
        <f>IF('Attendance Sheet'!C27 = "", "", 'Attendance Sheet'!C27)</f>
        <v/>
      </c>
      <c r="D36" s="57" t="str">
        <f>IF('Attendance Sheet'!D27 = "", "", 'Attendance Sheet'!D27)</f>
        <v/>
      </c>
      <c r="E36" s="61" t="str">
        <f>IF('Attendance Sheet'!E27 = "", "", 'Attendance Sheet'!E27)</f>
        <v/>
      </c>
      <c r="F36" s="19"/>
      <c r="G36" s="34"/>
      <c r="H36" s="68" t="str">
        <f t="shared" si="0"/>
        <v>-</v>
      </c>
      <c r="I36" s="397"/>
      <c r="J36" s="68" t="str">
        <f t="shared" si="1"/>
        <v>-</v>
      </c>
      <c r="K36" s="397"/>
      <c r="L36" s="68" t="str">
        <f t="shared" si="2"/>
        <v>-</v>
      </c>
      <c r="M36" s="397"/>
      <c r="N36" s="68" t="str">
        <f t="shared" si="3"/>
        <v>-</v>
      </c>
      <c r="O36" s="397"/>
      <c r="P36" s="68" t="str">
        <f t="shared" si="4"/>
        <v>-</v>
      </c>
      <c r="Q36" s="397"/>
      <c r="R36" s="68" t="str">
        <f t="shared" si="5"/>
        <v>-</v>
      </c>
      <c r="S36" s="397"/>
      <c r="T36" s="68" t="str">
        <f t="shared" si="6"/>
        <v>-</v>
      </c>
      <c r="U36" s="397"/>
      <c r="V36" s="68" t="str">
        <f t="shared" si="7"/>
        <v>-</v>
      </c>
      <c r="W36" s="397"/>
      <c r="X36" s="68" t="str">
        <f t="shared" si="8"/>
        <v>-</v>
      </c>
      <c r="Y36" s="397"/>
      <c r="Z36" s="69" t="str">
        <f t="shared" si="9"/>
        <v>-</v>
      </c>
      <c r="AA36" s="13"/>
      <c r="AB36" s="85" t="str">
        <f t="shared" si="10"/>
        <v>-</v>
      </c>
      <c r="AC36" s="16"/>
      <c r="AD36" s="36" t="str">
        <f>IF(C36="","-", (VLOOKUP(C36, 'Attendance Sheet'!$C$7:$F$62,4,FALSE)))</f>
        <v>-</v>
      </c>
      <c r="AE36" s="18"/>
      <c r="AF36" s="86" t="str">
        <f>IF(AB36 = "INC",
 "INC",
 IF(
  AB36 = "-",
  "-",
  VLOOKUP(AB36,'Grade Config'!$C$6:$D$37,2)
 )
)</f>
        <v>-</v>
      </c>
      <c r="AG36" s="234"/>
      <c r="AH36" s="235"/>
      <c r="AI36" s="235"/>
      <c r="AJ36" s="236"/>
      <c r="AK36" s="14"/>
    </row>
    <row r="37" spans="2:37">
      <c r="B37" s="33">
        <v>21</v>
      </c>
      <c r="C37" s="57" t="str">
        <f>IF('Attendance Sheet'!C28 = "", "", 'Attendance Sheet'!C28)</f>
        <v/>
      </c>
      <c r="D37" s="57" t="str">
        <f>IF('Attendance Sheet'!D28 = "", "", 'Attendance Sheet'!D28)</f>
        <v/>
      </c>
      <c r="E37" s="61" t="str">
        <f>IF('Attendance Sheet'!E28 = "", "", 'Attendance Sheet'!E28)</f>
        <v/>
      </c>
      <c r="F37" s="19"/>
      <c r="G37" s="34"/>
      <c r="H37" s="68" t="str">
        <f t="shared" si="0"/>
        <v>-</v>
      </c>
      <c r="I37" s="397"/>
      <c r="J37" s="68" t="str">
        <f t="shared" si="1"/>
        <v>-</v>
      </c>
      <c r="K37" s="397"/>
      <c r="L37" s="68" t="str">
        <f t="shared" si="2"/>
        <v>-</v>
      </c>
      <c r="M37" s="397"/>
      <c r="N37" s="68" t="str">
        <f t="shared" si="3"/>
        <v>-</v>
      </c>
      <c r="O37" s="397"/>
      <c r="P37" s="68" t="str">
        <f t="shared" si="4"/>
        <v>-</v>
      </c>
      <c r="Q37" s="397"/>
      <c r="R37" s="68" t="str">
        <f t="shared" si="5"/>
        <v>-</v>
      </c>
      <c r="S37" s="397"/>
      <c r="T37" s="68" t="str">
        <f t="shared" si="6"/>
        <v>-</v>
      </c>
      <c r="U37" s="397"/>
      <c r="V37" s="68" t="str">
        <f t="shared" si="7"/>
        <v>-</v>
      </c>
      <c r="W37" s="397"/>
      <c r="X37" s="68" t="str">
        <f t="shared" si="8"/>
        <v>-</v>
      </c>
      <c r="Y37" s="397"/>
      <c r="Z37" s="69" t="str">
        <f t="shared" si="9"/>
        <v>-</v>
      </c>
      <c r="AA37" s="13"/>
      <c r="AB37" s="85" t="str">
        <f t="shared" si="10"/>
        <v>-</v>
      </c>
      <c r="AC37" s="16"/>
      <c r="AD37" s="36" t="str">
        <f>IF(C37="","-", (VLOOKUP(C37, 'Attendance Sheet'!$C$7:$F$62,4,FALSE)))</f>
        <v>-</v>
      </c>
      <c r="AE37" s="18"/>
      <c r="AF37" s="86" t="str">
        <f>IF(AB37 = "INC",
 "INC",
 IF(
  AB37 = "-",
  "-",
  VLOOKUP(AB37,'Grade Config'!$C$6:$D$37,2)
 )
)</f>
        <v>-</v>
      </c>
      <c r="AG37" s="234"/>
      <c r="AH37" s="235"/>
      <c r="AI37" s="235"/>
      <c r="AJ37" s="236"/>
      <c r="AK37" s="14"/>
    </row>
    <row r="38" spans="2:37">
      <c r="B38" s="33">
        <v>22</v>
      </c>
      <c r="C38" s="57" t="str">
        <f>IF('Attendance Sheet'!C29 = "", "", 'Attendance Sheet'!C29)</f>
        <v/>
      </c>
      <c r="D38" s="57" t="str">
        <f>IF('Attendance Sheet'!D29 = "", "", 'Attendance Sheet'!D29)</f>
        <v/>
      </c>
      <c r="E38" s="61" t="str">
        <f>IF('Attendance Sheet'!E29 = "", "", 'Attendance Sheet'!E29)</f>
        <v/>
      </c>
      <c r="F38" s="19"/>
      <c r="G38" s="34"/>
      <c r="H38" s="68" t="str">
        <f t="shared" si="0"/>
        <v>-</v>
      </c>
      <c r="I38" s="397"/>
      <c r="J38" s="68" t="str">
        <f t="shared" si="1"/>
        <v>-</v>
      </c>
      <c r="K38" s="397"/>
      <c r="L38" s="68" t="str">
        <f t="shared" si="2"/>
        <v>-</v>
      </c>
      <c r="M38" s="397"/>
      <c r="N38" s="68" t="str">
        <f t="shared" si="3"/>
        <v>-</v>
      </c>
      <c r="O38" s="397"/>
      <c r="P38" s="68" t="str">
        <f t="shared" si="4"/>
        <v>-</v>
      </c>
      <c r="Q38" s="397"/>
      <c r="R38" s="68" t="str">
        <f t="shared" si="5"/>
        <v>-</v>
      </c>
      <c r="S38" s="397"/>
      <c r="T38" s="68" t="str">
        <f t="shared" si="6"/>
        <v>-</v>
      </c>
      <c r="U38" s="397"/>
      <c r="V38" s="68" t="str">
        <f t="shared" si="7"/>
        <v>-</v>
      </c>
      <c r="W38" s="397"/>
      <c r="X38" s="68" t="str">
        <f t="shared" si="8"/>
        <v>-</v>
      </c>
      <c r="Y38" s="397"/>
      <c r="Z38" s="69" t="str">
        <f t="shared" si="9"/>
        <v>-</v>
      </c>
      <c r="AA38" s="13"/>
      <c r="AB38" s="85" t="str">
        <f t="shared" si="10"/>
        <v>-</v>
      </c>
      <c r="AC38" s="16"/>
      <c r="AD38" s="36" t="str">
        <f>IF(C38="","-", (VLOOKUP(C38, 'Attendance Sheet'!$C$7:$F$62,4,FALSE)))</f>
        <v>-</v>
      </c>
      <c r="AE38" s="18"/>
      <c r="AF38" s="86" t="str">
        <f>IF(AB38 = "INC",
 "INC",
 IF(
  AB38 = "-",
  "-",
  VLOOKUP(AB38,'Grade Config'!$C$6:$D$37,2)
 )
)</f>
        <v>-</v>
      </c>
      <c r="AG38" s="234"/>
      <c r="AH38" s="235"/>
      <c r="AI38" s="235"/>
      <c r="AJ38" s="236"/>
      <c r="AK38" s="14"/>
    </row>
    <row r="39" spans="2:37">
      <c r="B39" s="33">
        <v>23</v>
      </c>
      <c r="C39" s="57" t="str">
        <f>IF('Attendance Sheet'!C30 = "", "", 'Attendance Sheet'!C30)</f>
        <v/>
      </c>
      <c r="D39" s="57" t="str">
        <f>IF('Attendance Sheet'!D30 = "", "", 'Attendance Sheet'!D30)</f>
        <v/>
      </c>
      <c r="E39" s="61" t="str">
        <f>IF('Attendance Sheet'!E30 = "", "", 'Attendance Sheet'!E30)</f>
        <v/>
      </c>
      <c r="F39" s="19"/>
      <c r="G39" s="34"/>
      <c r="H39" s="68" t="str">
        <f t="shared" si="0"/>
        <v>-</v>
      </c>
      <c r="I39" s="397"/>
      <c r="J39" s="68" t="str">
        <f t="shared" si="1"/>
        <v>-</v>
      </c>
      <c r="K39" s="397"/>
      <c r="L39" s="68" t="str">
        <f t="shared" si="2"/>
        <v>-</v>
      </c>
      <c r="M39" s="397"/>
      <c r="N39" s="68" t="str">
        <f t="shared" si="3"/>
        <v>-</v>
      </c>
      <c r="O39" s="397"/>
      <c r="P39" s="68" t="str">
        <f t="shared" si="4"/>
        <v>-</v>
      </c>
      <c r="Q39" s="397"/>
      <c r="R39" s="68" t="str">
        <f t="shared" si="5"/>
        <v>-</v>
      </c>
      <c r="S39" s="397"/>
      <c r="T39" s="68" t="str">
        <f t="shared" si="6"/>
        <v>-</v>
      </c>
      <c r="U39" s="397"/>
      <c r="V39" s="68" t="str">
        <f t="shared" si="7"/>
        <v>-</v>
      </c>
      <c r="W39" s="397"/>
      <c r="X39" s="68" t="str">
        <f t="shared" si="8"/>
        <v>-</v>
      </c>
      <c r="Y39" s="397"/>
      <c r="Z39" s="69" t="str">
        <f t="shared" si="9"/>
        <v>-</v>
      </c>
      <c r="AA39" s="13"/>
      <c r="AB39" s="85" t="str">
        <f t="shared" si="10"/>
        <v>-</v>
      </c>
      <c r="AC39" s="16"/>
      <c r="AD39" s="36" t="str">
        <f>IF(C39="","-", (VLOOKUP(C39, 'Attendance Sheet'!$C$7:$F$62,4,FALSE)))</f>
        <v>-</v>
      </c>
      <c r="AE39" s="18"/>
      <c r="AF39" s="86" t="str">
        <f>IF(AB39 = "INC",
 "INC",
 IF(
  AB39 = "-",
  "-",
  VLOOKUP(AB39,'Grade Config'!$C$6:$D$37,2)
 )
)</f>
        <v>-</v>
      </c>
      <c r="AG39" s="234"/>
      <c r="AH39" s="235"/>
      <c r="AI39" s="235"/>
      <c r="AJ39" s="236"/>
      <c r="AK39" s="14"/>
    </row>
    <row r="40" spans="2:37">
      <c r="B40" s="33">
        <v>24</v>
      </c>
      <c r="C40" s="57" t="str">
        <f>IF('Attendance Sheet'!C31 = "", "", 'Attendance Sheet'!C31)</f>
        <v/>
      </c>
      <c r="D40" s="57" t="str">
        <f>IF('Attendance Sheet'!D31 = "", "", 'Attendance Sheet'!D31)</f>
        <v/>
      </c>
      <c r="E40" s="61" t="str">
        <f>IF('Attendance Sheet'!E31 = "", "", 'Attendance Sheet'!E31)</f>
        <v/>
      </c>
      <c r="F40" s="19"/>
      <c r="G40" s="34"/>
      <c r="H40" s="68" t="str">
        <f t="shared" si="0"/>
        <v>-</v>
      </c>
      <c r="I40" s="397"/>
      <c r="J40" s="68" t="str">
        <f t="shared" si="1"/>
        <v>-</v>
      </c>
      <c r="K40" s="397"/>
      <c r="L40" s="68" t="str">
        <f t="shared" si="2"/>
        <v>-</v>
      </c>
      <c r="M40" s="397"/>
      <c r="N40" s="68" t="str">
        <f t="shared" si="3"/>
        <v>-</v>
      </c>
      <c r="O40" s="397"/>
      <c r="P40" s="68" t="str">
        <f t="shared" si="4"/>
        <v>-</v>
      </c>
      <c r="Q40" s="397"/>
      <c r="R40" s="68" t="str">
        <f t="shared" si="5"/>
        <v>-</v>
      </c>
      <c r="S40" s="397"/>
      <c r="T40" s="68" t="str">
        <f t="shared" si="6"/>
        <v>-</v>
      </c>
      <c r="U40" s="397"/>
      <c r="V40" s="68" t="str">
        <f t="shared" si="7"/>
        <v>-</v>
      </c>
      <c r="W40" s="397"/>
      <c r="X40" s="68" t="str">
        <f t="shared" si="8"/>
        <v>-</v>
      </c>
      <c r="Y40" s="397"/>
      <c r="Z40" s="69" t="str">
        <f t="shared" si="9"/>
        <v>-</v>
      </c>
      <c r="AA40" s="13"/>
      <c r="AB40" s="85" t="str">
        <f t="shared" si="10"/>
        <v>-</v>
      </c>
      <c r="AC40" s="16"/>
      <c r="AD40" s="36" t="str">
        <f>IF(C40="","-", (VLOOKUP(C40, 'Attendance Sheet'!$C$7:$F$62,4,FALSE)))</f>
        <v>-</v>
      </c>
      <c r="AE40" s="18"/>
      <c r="AF40" s="86" t="str">
        <f>IF(AB40 = "INC",
 "INC",
 IF(
  AB40 = "-",
  "-",
  VLOOKUP(AB40,'Grade Config'!$C$6:$D$37,2)
 )
)</f>
        <v>-</v>
      </c>
      <c r="AG40" s="234"/>
      <c r="AH40" s="235"/>
      <c r="AI40" s="235"/>
      <c r="AJ40" s="236"/>
      <c r="AK40" s="14"/>
    </row>
    <row r="41" spans="2:37">
      <c r="B41" s="33">
        <v>25</v>
      </c>
      <c r="C41" s="57" t="str">
        <f>IF('Attendance Sheet'!C32 = "", "", 'Attendance Sheet'!C32)</f>
        <v/>
      </c>
      <c r="D41" s="57" t="str">
        <f>IF('Attendance Sheet'!D32 = "", "", 'Attendance Sheet'!D32)</f>
        <v/>
      </c>
      <c r="E41" s="61" t="str">
        <f>IF('Attendance Sheet'!E32 = "", "", 'Attendance Sheet'!E32)</f>
        <v/>
      </c>
      <c r="F41" s="19"/>
      <c r="G41" s="34"/>
      <c r="H41" s="68" t="str">
        <f t="shared" si="0"/>
        <v>-</v>
      </c>
      <c r="I41" s="397"/>
      <c r="J41" s="68" t="str">
        <f t="shared" si="1"/>
        <v>-</v>
      </c>
      <c r="K41" s="397"/>
      <c r="L41" s="68" t="str">
        <f t="shared" si="2"/>
        <v>-</v>
      </c>
      <c r="M41" s="397"/>
      <c r="N41" s="68" t="str">
        <f t="shared" si="3"/>
        <v>-</v>
      </c>
      <c r="O41" s="397"/>
      <c r="P41" s="68" t="str">
        <f t="shared" si="4"/>
        <v>-</v>
      </c>
      <c r="Q41" s="397"/>
      <c r="R41" s="68" t="str">
        <f t="shared" si="5"/>
        <v>-</v>
      </c>
      <c r="S41" s="397"/>
      <c r="T41" s="68" t="str">
        <f t="shared" si="6"/>
        <v>-</v>
      </c>
      <c r="U41" s="397"/>
      <c r="V41" s="68" t="str">
        <f t="shared" si="7"/>
        <v>-</v>
      </c>
      <c r="W41" s="397"/>
      <c r="X41" s="68" t="str">
        <f t="shared" si="8"/>
        <v>-</v>
      </c>
      <c r="Y41" s="397"/>
      <c r="Z41" s="69" t="str">
        <f t="shared" si="9"/>
        <v>-</v>
      </c>
      <c r="AA41" s="13"/>
      <c r="AB41" s="85" t="str">
        <f t="shared" si="10"/>
        <v>-</v>
      </c>
      <c r="AC41" s="16"/>
      <c r="AD41" s="36" t="str">
        <f>IF(C41="","-", (VLOOKUP(C41, 'Attendance Sheet'!$C$7:$F$62,4,FALSE)))</f>
        <v>-</v>
      </c>
      <c r="AE41" s="18"/>
      <c r="AF41" s="86" t="str">
        <f>IF(AB41 = "INC",
 "INC",
 IF(
  AB41 = "-",
  "-",
  VLOOKUP(AB41,'Grade Config'!$C$6:$D$37,2)
 )
)</f>
        <v>-</v>
      </c>
      <c r="AG41" s="234"/>
      <c r="AH41" s="235"/>
      <c r="AI41" s="235"/>
      <c r="AJ41" s="236"/>
      <c r="AK41" s="14"/>
    </row>
    <row r="42" spans="2:37">
      <c r="B42" s="33">
        <v>26</v>
      </c>
      <c r="C42" s="57" t="str">
        <f>IF('Attendance Sheet'!C33 = "", "", 'Attendance Sheet'!C33)</f>
        <v/>
      </c>
      <c r="D42" s="57" t="str">
        <f>IF('Attendance Sheet'!D33 = "", "", 'Attendance Sheet'!D33)</f>
        <v/>
      </c>
      <c r="E42" s="61" t="str">
        <f>IF('Attendance Sheet'!E33 = "", "", 'Attendance Sheet'!E33)</f>
        <v/>
      </c>
      <c r="F42" s="19"/>
      <c r="G42" s="34"/>
      <c r="H42" s="68" t="str">
        <f t="shared" si="0"/>
        <v>-</v>
      </c>
      <c r="I42" s="397"/>
      <c r="J42" s="68" t="str">
        <f t="shared" si="1"/>
        <v>-</v>
      </c>
      <c r="K42" s="397"/>
      <c r="L42" s="68" t="str">
        <f t="shared" si="2"/>
        <v>-</v>
      </c>
      <c r="M42" s="397"/>
      <c r="N42" s="68" t="str">
        <f t="shared" si="3"/>
        <v>-</v>
      </c>
      <c r="O42" s="397"/>
      <c r="P42" s="68" t="str">
        <f t="shared" si="4"/>
        <v>-</v>
      </c>
      <c r="Q42" s="397"/>
      <c r="R42" s="68" t="str">
        <f t="shared" si="5"/>
        <v>-</v>
      </c>
      <c r="S42" s="397"/>
      <c r="T42" s="68" t="str">
        <f t="shared" si="6"/>
        <v>-</v>
      </c>
      <c r="U42" s="397"/>
      <c r="V42" s="68" t="str">
        <f t="shared" si="7"/>
        <v>-</v>
      </c>
      <c r="W42" s="397"/>
      <c r="X42" s="68" t="str">
        <f t="shared" si="8"/>
        <v>-</v>
      </c>
      <c r="Y42" s="397"/>
      <c r="Z42" s="69" t="str">
        <f t="shared" si="9"/>
        <v>-</v>
      </c>
      <c r="AA42" s="13"/>
      <c r="AB42" s="85" t="str">
        <f t="shared" si="10"/>
        <v>-</v>
      </c>
      <c r="AC42" s="16"/>
      <c r="AD42" s="36" t="str">
        <f>IF(C42="","-", (VLOOKUP(C42, 'Attendance Sheet'!$C$7:$F$62,4,FALSE)))</f>
        <v>-</v>
      </c>
      <c r="AE42" s="18"/>
      <c r="AF42" s="86" t="str">
        <f>IF(AB42 = "INC",
 "INC",
 IF(
  AB42 = "-",
  "-",
  VLOOKUP(AB42,'Grade Config'!$C$6:$D$37,2)
 )
)</f>
        <v>-</v>
      </c>
      <c r="AG42" s="234"/>
      <c r="AH42" s="235"/>
      <c r="AI42" s="235"/>
      <c r="AJ42" s="236"/>
      <c r="AK42" s="14"/>
    </row>
    <row r="43" spans="2:37">
      <c r="B43" s="33">
        <v>27</v>
      </c>
      <c r="C43" s="57" t="str">
        <f>IF('Attendance Sheet'!C34 = "", "", 'Attendance Sheet'!C34)</f>
        <v/>
      </c>
      <c r="D43" s="57" t="str">
        <f>IF('Attendance Sheet'!D34 = "", "", 'Attendance Sheet'!D34)</f>
        <v/>
      </c>
      <c r="E43" s="61" t="str">
        <f>IF('Attendance Sheet'!E34 = "", "", 'Attendance Sheet'!E34)</f>
        <v/>
      </c>
      <c r="F43" s="19"/>
      <c r="G43" s="34"/>
      <c r="H43" s="68" t="str">
        <f t="shared" si="0"/>
        <v>-</v>
      </c>
      <c r="I43" s="397"/>
      <c r="J43" s="68" t="str">
        <f t="shared" si="1"/>
        <v>-</v>
      </c>
      <c r="K43" s="397"/>
      <c r="L43" s="68" t="str">
        <f t="shared" si="2"/>
        <v>-</v>
      </c>
      <c r="M43" s="397"/>
      <c r="N43" s="68" t="str">
        <f t="shared" si="3"/>
        <v>-</v>
      </c>
      <c r="O43" s="397"/>
      <c r="P43" s="68" t="str">
        <f t="shared" si="4"/>
        <v>-</v>
      </c>
      <c r="Q43" s="397"/>
      <c r="R43" s="68" t="str">
        <f t="shared" si="5"/>
        <v>-</v>
      </c>
      <c r="S43" s="397"/>
      <c r="T43" s="68" t="str">
        <f t="shared" si="6"/>
        <v>-</v>
      </c>
      <c r="U43" s="397"/>
      <c r="V43" s="68" t="str">
        <f t="shared" si="7"/>
        <v>-</v>
      </c>
      <c r="W43" s="397"/>
      <c r="X43" s="68" t="str">
        <f t="shared" si="8"/>
        <v>-</v>
      </c>
      <c r="Y43" s="397"/>
      <c r="Z43" s="69" t="str">
        <f t="shared" si="9"/>
        <v>-</v>
      </c>
      <c r="AA43" s="13"/>
      <c r="AB43" s="85" t="str">
        <f t="shared" si="10"/>
        <v>-</v>
      </c>
      <c r="AC43" s="16"/>
      <c r="AD43" s="36" t="str">
        <f>IF(C43="","-", (VLOOKUP(C43, 'Attendance Sheet'!$C$7:$F$62,4,FALSE)))</f>
        <v>-</v>
      </c>
      <c r="AE43" s="18"/>
      <c r="AF43" s="86" t="str">
        <f>IF(AB43 = "INC",
 "INC",
 IF(
  AB43 = "-",
  "-",
  VLOOKUP(AB43,'Grade Config'!$C$6:$D$37,2)
 )
)</f>
        <v>-</v>
      </c>
      <c r="AG43" s="234"/>
      <c r="AH43" s="235"/>
      <c r="AI43" s="235"/>
      <c r="AJ43" s="236"/>
      <c r="AK43" s="14"/>
    </row>
    <row r="44" spans="2:37">
      <c r="B44" s="33">
        <v>28</v>
      </c>
      <c r="C44" s="57" t="str">
        <f>IF('Attendance Sheet'!C35 = "", "", 'Attendance Sheet'!C35)</f>
        <v/>
      </c>
      <c r="D44" s="57" t="str">
        <f>IF('Attendance Sheet'!D35 = "", "", 'Attendance Sheet'!D35)</f>
        <v/>
      </c>
      <c r="E44" s="61" t="str">
        <f>IF('Attendance Sheet'!E35 = "", "", 'Attendance Sheet'!E35)</f>
        <v/>
      </c>
      <c r="F44" s="19"/>
      <c r="G44" s="34"/>
      <c r="H44" s="68" t="str">
        <f t="shared" si="0"/>
        <v>-</v>
      </c>
      <c r="I44" s="397"/>
      <c r="J44" s="68" t="str">
        <f t="shared" si="1"/>
        <v>-</v>
      </c>
      <c r="K44" s="397"/>
      <c r="L44" s="68" t="str">
        <f t="shared" si="2"/>
        <v>-</v>
      </c>
      <c r="M44" s="397"/>
      <c r="N44" s="68" t="str">
        <f t="shared" si="3"/>
        <v>-</v>
      </c>
      <c r="O44" s="397"/>
      <c r="P44" s="68" t="str">
        <f t="shared" si="4"/>
        <v>-</v>
      </c>
      <c r="Q44" s="397"/>
      <c r="R44" s="68" t="str">
        <f t="shared" si="5"/>
        <v>-</v>
      </c>
      <c r="S44" s="397"/>
      <c r="T44" s="68" t="str">
        <f t="shared" si="6"/>
        <v>-</v>
      </c>
      <c r="U44" s="397"/>
      <c r="V44" s="68" t="str">
        <f t="shared" si="7"/>
        <v>-</v>
      </c>
      <c r="W44" s="397"/>
      <c r="X44" s="68" t="str">
        <f t="shared" si="8"/>
        <v>-</v>
      </c>
      <c r="Y44" s="397"/>
      <c r="Z44" s="69" t="str">
        <f t="shared" si="9"/>
        <v>-</v>
      </c>
      <c r="AA44" s="13"/>
      <c r="AB44" s="85" t="str">
        <f t="shared" si="10"/>
        <v>-</v>
      </c>
      <c r="AC44" s="16"/>
      <c r="AD44" s="36" t="str">
        <f>IF(C44="","-", (VLOOKUP(C44, 'Attendance Sheet'!$C$7:$F$62,4,FALSE)))</f>
        <v>-</v>
      </c>
      <c r="AE44" s="18"/>
      <c r="AF44" s="86" t="str">
        <f>IF(AB44 = "INC",
 "INC",
 IF(
  AB44 = "-",
  "-",
  VLOOKUP(AB44,'Grade Config'!$C$6:$D$37,2)
 )
)</f>
        <v>-</v>
      </c>
      <c r="AG44" s="234"/>
      <c r="AH44" s="235"/>
      <c r="AI44" s="235"/>
      <c r="AJ44" s="236"/>
      <c r="AK44" s="14"/>
    </row>
    <row r="45" spans="2:37">
      <c r="B45" s="33">
        <v>29</v>
      </c>
      <c r="C45" s="57" t="str">
        <f>IF('Attendance Sheet'!C36 = "", "", 'Attendance Sheet'!C36)</f>
        <v/>
      </c>
      <c r="D45" s="57" t="str">
        <f>IF('Attendance Sheet'!D36 = "", "", 'Attendance Sheet'!D36)</f>
        <v/>
      </c>
      <c r="E45" s="61" t="str">
        <f>IF('Attendance Sheet'!E36 = "", "", 'Attendance Sheet'!E36)</f>
        <v/>
      </c>
      <c r="F45" s="19"/>
      <c r="G45" s="34"/>
      <c r="H45" s="68" t="str">
        <f t="shared" si="0"/>
        <v>-</v>
      </c>
      <c r="I45" s="397"/>
      <c r="J45" s="68" t="str">
        <f t="shared" si="1"/>
        <v>-</v>
      </c>
      <c r="K45" s="397"/>
      <c r="L45" s="68" t="str">
        <f t="shared" si="2"/>
        <v>-</v>
      </c>
      <c r="M45" s="397"/>
      <c r="N45" s="68" t="str">
        <f t="shared" si="3"/>
        <v>-</v>
      </c>
      <c r="O45" s="397"/>
      <c r="P45" s="68" t="str">
        <f t="shared" si="4"/>
        <v>-</v>
      </c>
      <c r="Q45" s="397"/>
      <c r="R45" s="68" t="str">
        <f t="shared" si="5"/>
        <v>-</v>
      </c>
      <c r="S45" s="397"/>
      <c r="T45" s="68" t="str">
        <f t="shared" si="6"/>
        <v>-</v>
      </c>
      <c r="U45" s="397"/>
      <c r="V45" s="68" t="str">
        <f t="shared" si="7"/>
        <v>-</v>
      </c>
      <c r="W45" s="397"/>
      <c r="X45" s="68" t="str">
        <f t="shared" si="8"/>
        <v>-</v>
      </c>
      <c r="Y45" s="397"/>
      <c r="Z45" s="69" t="str">
        <f t="shared" si="9"/>
        <v>-</v>
      </c>
      <c r="AA45" s="13"/>
      <c r="AB45" s="85" t="str">
        <f t="shared" si="10"/>
        <v>-</v>
      </c>
      <c r="AC45" s="16"/>
      <c r="AD45" s="36" t="str">
        <f>IF(C45="","-", (VLOOKUP(C45, 'Attendance Sheet'!$C$7:$F$62,4,FALSE)))</f>
        <v>-</v>
      </c>
      <c r="AE45" s="18"/>
      <c r="AF45" s="86" t="str">
        <f>IF(AB45 = "INC",
 "INC",
 IF(
  AB45 = "-",
  "-",
  VLOOKUP(AB45,'Grade Config'!$C$6:$D$37,2)
 )
)</f>
        <v>-</v>
      </c>
      <c r="AG45" s="234"/>
      <c r="AH45" s="235"/>
      <c r="AI45" s="235"/>
      <c r="AJ45" s="236"/>
      <c r="AK45" s="14"/>
    </row>
    <row r="46" spans="2:37">
      <c r="B46" s="33">
        <v>30</v>
      </c>
      <c r="C46" s="57" t="str">
        <f>IF('Attendance Sheet'!C37 = "", "", 'Attendance Sheet'!C37)</f>
        <v/>
      </c>
      <c r="D46" s="57" t="str">
        <f>IF('Attendance Sheet'!D37 = "", "", 'Attendance Sheet'!D37)</f>
        <v/>
      </c>
      <c r="E46" s="61" t="str">
        <f>IF('Attendance Sheet'!E37 = "", "", 'Attendance Sheet'!E37)</f>
        <v/>
      </c>
      <c r="F46" s="19"/>
      <c r="G46" s="34"/>
      <c r="H46" s="68" t="str">
        <f t="shared" si="0"/>
        <v>-</v>
      </c>
      <c r="I46" s="397"/>
      <c r="J46" s="68" t="str">
        <f t="shared" si="1"/>
        <v>-</v>
      </c>
      <c r="K46" s="397"/>
      <c r="L46" s="68" t="str">
        <f t="shared" si="2"/>
        <v>-</v>
      </c>
      <c r="M46" s="397"/>
      <c r="N46" s="68" t="str">
        <f t="shared" si="3"/>
        <v>-</v>
      </c>
      <c r="O46" s="397"/>
      <c r="P46" s="68" t="str">
        <f t="shared" si="4"/>
        <v>-</v>
      </c>
      <c r="Q46" s="397"/>
      <c r="R46" s="68" t="str">
        <f t="shared" si="5"/>
        <v>-</v>
      </c>
      <c r="S46" s="397"/>
      <c r="T46" s="68" t="str">
        <f t="shared" si="6"/>
        <v>-</v>
      </c>
      <c r="U46" s="397"/>
      <c r="V46" s="68" t="str">
        <f t="shared" si="7"/>
        <v>-</v>
      </c>
      <c r="W46" s="397"/>
      <c r="X46" s="68" t="str">
        <f t="shared" si="8"/>
        <v>-</v>
      </c>
      <c r="Y46" s="397"/>
      <c r="Z46" s="69" t="str">
        <f t="shared" si="9"/>
        <v>-</v>
      </c>
      <c r="AA46" s="13"/>
      <c r="AB46" s="85" t="str">
        <f t="shared" si="10"/>
        <v>-</v>
      </c>
      <c r="AC46" s="16"/>
      <c r="AD46" s="36" t="str">
        <f>IF(C46="","-", (VLOOKUP(C46, 'Attendance Sheet'!$C$7:$F$62,4,FALSE)))</f>
        <v>-</v>
      </c>
      <c r="AE46" s="18"/>
      <c r="AF46" s="86" t="str">
        <f>IF(AB46 = "INC",
 "INC",
 IF(
  AB46 = "-",
  "-",
  VLOOKUP(AB46,'Grade Config'!$C$6:$D$37,2)
 )
)</f>
        <v>-</v>
      </c>
      <c r="AG46" s="234"/>
      <c r="AH46" s="235"/>
      <c r="AI46" s="235"/>
      <c r="AJ46" s="236"/>
      <c r="AK46" s="14"/>
    </row>
    <row r="47" spans="2:37">
      <c r="B47" s="33">
        <v>31</v>
      </c>
      <c r="C47" s="57" t="str">
        <f>IF('Attendance Sheet'!C38 = "", "", 'Attendance Sheet'!C38)</f>
        <v/>
      </c>
      <c r="D47" s="57" t="str">
        <f>IF('Attendance Sheet'!D38 = "", "", 'Attendance Sheet'!D38)</f>
        <v/>
      </c>
      <c r="E47" s="61" t="str">
        <f>IF('Attendance Sheet'!E38 = "", "", 'Attendance Sheet'!E38)</f>
        <v/>
      </c>
      <c r="F47" s="19"/>
      <c r="G47" s="34"/>
      <c r="H47" s="68" t="str">
        <f t="shared" si="0"/>
        <v>-</v>
      </c>
      <c r="I47" s="397"/>
      <c r="J47" s="68" t="str">
        <f t="shared" si="1"/>
        <v>-</v>
      </c>
      <c r="K47" s="397"/>
      <c r="L47" s="68" t="str">
        <f t="shared" si="2"/>
        <v>-</v>
      </c>
      <c r="M47" s="397"/>
      <c r="N47" s="68" t="str">
        <f t="shared" si="3"/>
        <v>-</v>
      </c>
      <c r="O47" s="397"/>
      <c r="P47" s="68" t="str">
        <f t="shared" si="4"/>
        <v>-</v>
      </c>
      <c r="Q47" s="397"/>
      <c r="R47" s="68" t="str">
        <f t="shared" si="5"/>
        <v>-</v>
      </c>
      <c r="S47" s="397"/>
      <c r="T47" s="68" t="str">
        <f t="shared" si="6"/>
        <v>-</v>
      </c>
      <c r="U47" s="397"/>
      <c r="V47" s="68" t="str">
        <f t="shared" si="7"/>
        <v>-</v>
      </c>
      <c r="W47" s="397"/>
      <c r="X47" s="68" t="str">
        <f t="shared" si="8"/>
        <v>-</v>
      </c>
      <c r="Y47" s="397"/>
      <c r="Z47" s="69" t="str">
        <f t="shared" si="9"/>
        <v>-</v>
      </c>
      <c r="AA47" s="13"/>
      <c r="AB47" s="85" t="str">
        <f t="shared" si="10"/>
        <v>-</v>
      </c>
      <c r="AC47" s="16"/>
      <c r="AD47" s="36" t="str">
        <f>IF(C47="","-", (VLOOKUP(C47, 'Attendance Sheet'!$C$7:$F$62,4,FALSE)))</f>
        <v>-</v>
      </c>
      <c r="AE47" s="18"/>
      <c r="AF47" s="86" t="str">
        <f>IF(AB47 = "INC",
 "INC",
 IF(
  AB47 = "-",
  "-",
  VLOOKUP(AB47,'Grade Config'!$C$6:$D$37,2)
 )
)</f>
        <v>-</v>
      </c>
      <c r="AG47" s="234"/>
      <c r="AH47" s="235"/>
      <c r="AI47" s="235"/>
      <c r="AJ47" s="236"/>
      <c r="AK47" s="14"/>
    </row>
    <row r="48" spans="2:37">
      <c r="B48" s="33">
        <v>32</v>
      </c>
      <c r="C48" s="57" t="str">
        <f>IF('Attendance Sheet'!C39 = "", "", 'Attendance Sheet'!C39)</f>
        <v/>
      </c>
      <c r="D48" s="57" t="str">
        <f>IF('Attendance Sheet'!D39 = "", "", 'Attendance Sheet'!D39)</f>
        <v/>
      </c>
      <c r="E48" s="61" t="str">
        <f>IF('Attendance Sheet'!E39 = "", "", 'Attendance Sheet'!E39)</f>
        <v/>
      </c>
      <c r="F48" s="19"/>
      <c r="G48" s="34"/>
      <c r="H48" s="68" t="str">
        <f t="shared" si="0"/>
        <v>-</v>
      </c>
      <c r="I48" s="397"/>
      <c r="J48" s="68" t="str">
        <f t="shared" si="1"/>
        <v>-</v>
      </c>
      <c r="K48" s="397"/>
      <c r="L48" s="68" t="str">
        <f t="shared" si="2"/>
        <v>-</v>
      </c>
      <c r="M48" s="397"/>
      <c r="N48" s="68" t="str">
        <f t="shared" si="3"/>
        <v>-</v>
      </c>
      <c r="O48" s="397"/>
      <c r="P48" s="68" t="str">
        <f t="shared" si="4"/>
        <v>-</v>
      </c>
      <c r="Q48" s="397"/>
      <c r="R48" s="68" t="str">
        <f t="shared" si="5"/>
        <v>-</v>
      </c>
      <c r="S48" s="397"/>
      <c r="T48" s="68" t="str">
        <f t="shared" si="6"/>
        <v>-</v>
      </c>
      <c r="U48" s="397"/>
      <c r="V48" s="68" t="str">
        <f t="shared" si="7"/>
        <v>-</v>
      </c>
      <c r="W48" s="397"/>
      <c r="X48" s="68" t="str">
        <f t="shared" si="8"/>
        <v>-</v>
      </c>
      <c r="Y48" s="397"/>
      <c r="Z48" s="69" t="str">
        <f t="shared" si="9"/>
        <v>-</v>
      </c>
      <c r="AA48" s="13"/>
      <c r="AB48" s="85" t="str">
        <f t="shared" si="10"/>
        <v>-</v>
      </c>
      <c r="AC48" s="16"/>
      <c r="AD48" s="36" t="str">
        <f>IF(C48="","-", (VLOOKUP(C48, 'Attendance Sheet'!$C$7:$F$62,4,FALSE)))</f>
        <v>-</v>
      </c>
      <c r="AE48" s="18"/>
      <c r="AF48" s="86" t="str">
        <f>IF(AB48 = "INC",
 "INC",
 IF(
  AB48 = "-",
  "-",
  VLOOKUP(AB48,'Grade Config'!$C$6:$D$37,2)
 )
)</f>
        <v>-</v>
      </c>
      <c r="AG48" s="234"/>
      <c r="AH48" s="235"/>
      <c r="AI48" s="235"/>
      <c r="AJ48" s="236"/>
      <c r="AK48" s="14"/>
    </row>
    <row r="49" spans="2:37">
      <c r="B49" s="33">
        <v>33</v>
      </c>
      <c r="C49" s="57" t="str">
        <f>IF('Attendance Sheet'!C40 = "", "", 'Attendance Sheet'!C40)</f>
        <v/>
      </c>
      <c r="D49" s="57" t="str">
        <f>IF('Attendance Sheet'!D40 = "", "", 'Attendance Sheet'!D40)</f>
        <v/>
      </c>
      <c r="E49" s="61" t="str">
        <f>IF('Attendance Sheet'!E40 = "", "", 'Attendance Sheet'!E40)</f>
        <v/>
      </c>
      <c r="F49" s="19"/>
      <c r="G49" s="34"/>
      <c r="H49" s="68" t="str">
        <f t="shared" si="0"/>
        <v>-</v>
      </c>
      <c r="I49" s="397"/>
      <c r="J49" s="68" t="str">
        <f t="shared" si="1"/>
        <v>-</v>
      </c>
      <c r="K49" s="397"/>
      <c r="L49" s="68" t="str">
        <f t="shared" si="2"/>
        <v>-</v>
      </c>
      <c r="M49" s="397"/>
      <c r="N49" s="68" t="str">
        <f t="shared" si="3"/>
        <v>-</v>
      </c>
      <c r="O49" s="397"/>
      <c r="P49" s="68" t="str">
        <f t="shared" si="4"/>
        <v>-</v>
      </c>
      <c r="Q49" s="397"/>
      <c r="R49" s="68" t="str">
        <f t="shared" si="5"/>
        <v>-</v>
      </c>
      <c r="S49" s="397"/>
      <c r="T49" s="68" t="str">
        <f t="shared" si="6"/>
        <v>-</v>
      </c>
      <c r="U49" s="397"/>
      <c r="V49" s="68" t="str">
        <f t="shared" si="7"/>
        <v>-</v>
      </c>
      <c r="W49" s="397"/>
      <c r="X49" s="68" t="str">
        <f t="shared" si="8"/>
        <v>-</v>
      </c>
      <c r="Y49" s="397"/>
      <c r="Z49" s="69" t="str">
        <f t="shared" si="9"/>
        <v>-</v>
      </c>
      <c r="AA49" s="13"/>
      <c r="AB49" s="85" t="str">
        <f t="shared" si="10"/>
        <v>-</v>
      </c>
      <c r="AC49" s="16"/>
      <c r="AD49" s="36" t="str">
        <f>IF(C49="","-", (VLOOKUP(C49, 'Attendance Sheet'!$C$7:$F$62,4,FALSE)))</f>
        <v>-</v>
      </c>
      <c r="AE49" s="18"/>
      <c r="AF49" s="86" t="str">
        <f>IF(AB49 = "INC",
 "INC",
 IF(
  AB49 = "-",
  "-",
  VLOOKUP(AB49,'Grade Config'!$C$6:$D$37,2)
 )
)</f>
        <v>-</v>
      </c>
      <c r="AG49" s="234"/>
      <c r="AH49" s="235"/>
      <c r="AI49" s="235"/>
      <c r="AJ49" s="236"/>
      <c r="AK49" s="14"/>
    </row>
    <row r="50" spans="2:37">
      <c r="B50" s="33">
        <v>34</v>
      </c>
      <c r="C50" s="57" t="str">
        <f>IF('Attendance Sheet'!C41 = "", "", 'Attendance Sheet'!C41)</f>
        <v/>
      </c>
      <c r="D50" s="57" t="str">
        <f>IF('Attendance Sheet'!D41 = "", "", 'Attendance Sheet'!D41)</f>
        <v/>
      </c>
      <c r="E50" s="61" t="str">
        <f>IF('Attendance Sheet'!E41 = "", "", 'Attendance Sheet'!E41)</f>
        <v/>
      </c>
      <c r="F50" s="19"/>
      <c r="G50" s="34"/>
      <c r="H50" s="68" t="str">
        <f t="shared" si="0"/>
        <v>-</v>
      </c>
      <c r="I50" s="397"/>
      <c r="J50" s="68" t="str">
        <f t="shared" si="1"/>
        <v>-</v>
      </c>
      <c r="K50" s="397"/>
      <c r="L50" s="68" t="str">
        <f t="shared" si="2"/>
        <v>-</v>
      </c>
      <c r="M50" s="397"/>
      <c r="N50" s="68" t="str">
        <f t="shared" si="3"/>
        <v>-</v>
      </c>
      <c r="O50" s="397"/>
      <c r="P50" s="68" t="str">
        <f t="shared" si="4"/>
        <v>-</v>
      </c>
      <c r="Q50" s="397"/>
      <c r="R50" s="68" t="str">
        <f t="shared" si="5"/>
        <v>-</v>
      </c>
      <c r="S50" s="397"/>
      <c r="T50" s="68" t="str">
        <f t="shared" si="6"/>
        <v>-</v>
      </c>
      <c r="U50" s="397"/>
      <c r="V50" s="68" t="str">
        <f t="shared" si="7"/>
        <v>-</v>
      </c>
      <c r="W50" s="397"/>
      <c r="X50" s="68" t="str">
        <f t="shared" si="8"/>
        <v>-</v>
      </c>
      <c r="Y50" s="397"/>
      <c r="Z50" s="69" t="str">
        <f t="shared" si="9"/>
        <v>-</v>
      </c>
      <c r="AA50" s="13"/>
      <c r="AB50" s="85" t="str">
        <f t="shared" si="10"/>
        <v>-</v>
      </c>
      <c r="AC50" s="16"/>
      <c r="AD50" s="36" t="str">
        <f>IF(C50="","-", (VLOOKUP(C50, 'Attendance Sheet'!$C$7:$F$62,4,FALSE)))</f>
        <v>-</v>
      </c>
      <c r="AE50" s="18"/>
      <c r="AF50" s="86" t="str">
        <f>IF(AB50 = "INC",
 "INC",
 IF(
  AB50 = "-",
  "-",
  VLOOKUP(AB50,'Grade Config'!$C$6:$D$37,2)
 )
)</f>
        <v>-</v>
      </c>
      <c r="AG50" s="234"/>
      <c r="AH50" s="235"/>
      <c r="AI50" s="235"/>
      <c r="AJ50" s="236"/>
      <c r="AK50" s="14"/>
    </row>
    <row r="51" spans="2:37">
      <c r="B51" s="33">
        <v>35</v>
      </c>
      <c r="C51" s="57" t="str">
        <f>IF('Attendance Sheet'!C42 = "", "", 'Attendance Sheet'!C42)</f>
        <v/>
      </c>
      <c r="D51" s="57" t="str">
        <f>IF('Attendance Sheet'!D42 = "", "", 'Attendance Sheet'!D42)</f>
        <v/>
      </c>
      <c r="E51" s="61" t="str">
        <f>IF('Attendance Sheet'!E42 = "", "", 'Attendance Sheet'!E42)</f>
        <v/>
      </c>
      <c r="F51" s="19"/>
      <c r="G51" s="34"/>
      <c r="H51" s="68" t="str">
        <f t="shared" si="0"/>
        <v>-</v>
      </c>
      <c r="I51" s="397"/>
      <c r="J51" s="68" t="str">
        <f t="shared" si="1"/>
        <v>-</v>
      </c>
      <c r="K51" s="397"/>
      <c r="L51" s="68" t="str">
        <f t="shared" si="2"/>
        <v>-</v>
      </c>
      <c r="M51" s="397"/>
      <c r="N51" s="68" t="str">
        <f t="shared" si="3"/>
        <v>-</v>
      </c>
      <c r="O51" s="397"/>
      <c r="P51" s="68" t="str">
        <f t="shared" si="4"/>
        <v>-</v>
      </c>
      <c r="Q51" s="397"/>
      <c r="R51" s="68" t="str">
        <f t="shared" si="5"/>
        <v>-</v>
      </c>
      <c r="S51" s="397"/>
      <c r="T51" s="68" t="str">
        <f t="shared" si="6"/>
        <v>-</v>
      </c>
      <c r="U51" s="397"/>
      <c r="V51" s="68" t="str">
        <f t="shared" si="7"/>
        <v>-</v>
      </c>
      <c r="W51" s="397"/>
      <c r="X51" s="68" t="str">
        <f t="shared" si="8"/>
        <v>-</v>
      </c>
      <c r="Y51" s="397"/>
      <c r="Z51" s="69" t="str">
        <f t="shared" si="9"/>
        <v>-</v>
      </c>
      <c r="AA51" s="13"/>
      <c r="AB51" s="85" t="str">
        <f t="shared" si="10"/>
        <v>-</v>
      </c>
      <c r="AC51" s="16"/>
      <c r="AD51" s="36" t="str">
        <f>IF(C51="","-", (VLOOKUP(C51, 'Attendance Sheet'!$C$7:$F$62,4,FALSE)))</f>
        <v>-</v>
      </c>
      <c r="AE51" s="18"/>
      <c r="AF51" s="86" t="str">
        <f>IF(AB51 = "INC",
 "INC",
 IF(
  AB51 = "-",
  "-",
  VLOOKUP(AB51,'Grade Config'!$C$6:$D$37,2)
 )
)</f>
        <v>-</v>
      </c>
      <c r="AG51" s="234"/>
      <c r="AH51" s="235"/>
      <c r="AI51" s="235"/>
      <c r="AJ51" s="236"/>
      <c r="AK51" s="14"/>
    </row>
    <row r="52" spans="2:37">
      <c r="B52" s="33">
        <v>36</v>
      </c>
      <c r="C52" s="57" t="str">
        <f>IF('Attendance Sheet'!C43 = "", "", 'Attendance Sheet'!C43)</f>
        <v/>
      </c>
      <c r="D52" s="57" t="str">
        <f>IF('Attendance Sheet'!D43 = "", "", 'Attendance Sheet'!D43)</f>
        <v/>
      </c>
      <c r="E52" s="61" t="str">
        <f>IF('Attendance Sheet'!E43 = "", "", 'Attendance Sheet'!E43)</f>
        <v/>
      </c>
      <c r="F52" s="19"/>
      <c r="G52" s="34"/>
      <c r="H52" s="68" t="str">
        <f t="shared" si="0"/>
        <v>-</v>
      </c>
      <c r="I52" s="397"/>
      <c r="J52" s="68" t="str">
        <f t="shared" si="1"/>
        <v>-</v>
      </c>
      <c r="K52" s="397"/>
      <c r="L52" s="68" t="str">
        <f t="shared" si="2"/>
        <v>-</v>
      </c>
      <c r="M52" s="397"/>
      <c r="N52" s="68" t="str">
        <f t="shared" si="3"/>
        <v>-</v>
      </c>
      <c r="O52" s="397"/>
      <c r="P52" s="68" t="str">
        <f t="shared" si="4"/>
        <v>-</v>
      </c>
      <c r="Q52" s="397"/>
      <c r="R52" s="68" t="str">
        <f t="shared" si="5"/>
        <v>-</v>
      </c>
      <c r="S52" s="397"/>
      <c r="T52" s="68" t="str">
        <f t="shared" si="6"/>
        <v>-</v>
      </c>
      <c r="U52" s="397"/>
      <c r="V52" s="68" t="str">
        <f t="shared" si="7"/>
        <v>-</v>
      </c>
      <c r="W52" s="397"/>
      <c r="X52" s="68" t="str">
        <f t="shared" si="8"/>
        <v>-</v>
      </c>
      <c r="Y52" s="397"/>
      <c r="Z52" s="69" t="str">
        <f t="shared" si="9"/>
        <v>-</v>
      </c>
      <c r="AA52" s="13"/>
      <c r="AB52" s="85" t="str">
        <f t="shared" si="10"/>
        <v>-</v>
      </c>
      <c r="AC52" s="16"/>
      <c r="AD52" s="36" t="str">
        <f>IF(C52="","-", (VLOOKUP(C52, 'Attendance Sheet'!$C$7:$F$62,4,FALSE)))</f>
        <v>-</v>
      </c>
      <c r="AE52" s="18"/>
      <c r="AF52" s="86" t="str">
        <f>IF(AB52 = "INC",
 "INC",
 IF(
  AB52 = "-",
  "-",
  VLOOKUP(AB52,'Grade Config'!$C$6:$D$37,2)
 )
)</f>
        <v>-</v>
      </c>
      <c r="AG52" s="234"/>
      <c r="AH52" s="235"/>
      <c r="AI52" s="235"/>
      <c r="AJ52" s="236"/>
      <c r="AK52" s="14"/>
    </row>
    <row r="53" spans="2:37">
      <c r="B53" s="33">
        <v>37</v>
      </c>
      <c r="C53" s="57" t="str">
        <f>IF('Attendance Sheet'!C44 = "", "", 'Attendance Sheet'!C44)</f>
        <v/>
      </c>
      <c r="D53" s="57" t="str">
        <f>IF('Attendance Sheet'!D44 = "", "", 'Attendance Sheet'!D44)</f>
        <v/>
      </c>
      <c r="E53" s="61" t="str">
        <f>IF('Attendance Sheet'!E44 = "", "", 'Attendance Sheet'!E44)</f>
        <v/>
      </c>
      <c r="F53" s="19"/>
      <c r="G53" s="34"/>
      <c r="H53" s="68" t="str">
        <f t="shared" si="0"/>
        <v>-</v>
      </c>
      <c r="I53" s="397"/>
      <c r="J53" s="68" t="str">
        <f t="shared" si="1"/>
        <v>-</v>
      </c>
      <c r="K53" s="397"/>
      <c r="L53" s="68" t="str">
        <f t="shared" si="2"/>
        <v>-</v>
      </c>
      <c r="M53" s="397"/>
      <c r="N53" s="68" t="str">
        <f t="shared" si="3"/>
        <v>-</v>
      </c>
      <c r="O53" s="397"/>
      <c r="P53" s="68" t="str">
        <f t="shared" si="4"/>
        <v>-</v>
      </c>
      <c r="Q53" s="397"/>
      <c r="R53" s="68" t="str">
        <f t="shared" si="5"/>
        <v>-</v>
      </c>
      <c r="S53" s="397"/>
      <c r="T53" s="68" t="str">
        <f t="shared" si="6"/>
        <v>-</v>
      </c>
      <c r="U53" s="397"/>
      <c r="V53" s="68" t="str">
        <f t="shared" si="7"/>
        <v>-</v>
      </c>
      <c r="W53" s="397"/>
      <c r="X53" s="68" t="str">
        <f t="shared" si="8"/>
        <v>-</v>
      </c>
      <c r="Y53" s="397"/>
      <c r="Z53" s="69" t="str">
        <f t="shared" si="9"/>
        <v>-</v>
      </c>
      <c r="AA53" s="13"/>
      <c r="AB53" s="85" t="str">
        <f t="shared" si="10"/>
        <v>-</v>
      </c>
      <c r="AC53" s="16"/>
      <c r="AD53" s="36" t="str">
        <f>IF(C53="","-", (VLOOKUP(C53, 'Attendance Sheet'!$C$7:$F$62,4,FALSE)))</f>
        <v>-</v>
      </c>
      <c r="AE53" s="18"/>
      <c r="AF53" s="86" t="str">
        <f>IF(AB53 = "INC",
 "INC",
 IF(
  AB53 = "-",
  "-",
  VLOOKUP(AB53,'Grade Config'!$C$6:$D$37,2)
 )
)</f>
        <v>-</v>
      </c>
      <c r="AG53" s="234"/>
      <c r="AH53" s="235"/>
      <c r="AI53" s="235"/>
      <c r="AJ53" s="236"/>
      <c r="AK53" s="14"/>
    </row>
    <row r="54" spans="2:37">
      <c r="B54" s="33">
        <v>38</v>
      </c>
      <c r="C54" s="57" t="str">
        <f>IF('Attendance Sheet'!C45 = "", "", 'Attendance Sheet'!C45)</f>
        <v/>
      </c>
      <c r="D54" s="57" t="str">
        <f>IF('Attendance Sheet'!D45 = "", "", 'Attendance Sheet'!D45)</f>
        <v/>
      </c>
      <c r="E54" s="61" t="str">
        <f>IF('Attendance Sheet'!E45 = "", "", 'Attendance Sheet'!E45)</f>
        <v/>
      </c>
      <c r="F54" s="19"/>
      <c r="G54" s="34"/>
      <c r="H54" s="68" t="str">
        <f t="shared" si="0"/>
        <v>-</v>
      </c>
      <c r="I54" s="397"/>
      <c r="J54" s="68" t="str">
        <f t="shared" si="1"/>
        <v>-</v>
      </c>
      <c r="K54" s="397"/>
      <c r="L54" s="68" t="str">
        <f t="shared" si="2"/>
        <v>-</v>
      </c>
      <c r="M54" s="397"/>
      <c r="N54" s="68" t="str">
        <f t="shared" si="3"/>
        <v>-</v>
      </c>
      <c r="O54" s="397"/>
      <c r="P54" s="68" t="str">
        <f t="shared" si="4"/>
        <v>-</v>
      </c>
      <c r="Q54" s="397"/>
      <c r="R54" s="68" t="str">
        <f t="shared" si="5"/>
        <v>-</v>
      </c>
      <c r="S54" s="397"/>
      <c r="T54" s="68" t="str">
        <f t="shared" si="6"/>
        <v>-</v>
      </c>
      <c r="U54" s="397"/>
      <c r="V54" s="68" t="str">
        <f t="shared" si="7"/>
        <v>-</v>
      </c>
      <c r="W54" s="397"/>
      <c r="X54" s="68" t="str">
        <f t="shared" si="8"/>
        <v>-</v>
      </c>
      <c r="Y54" s="397"/>
      <c r="Z54" s="69" t="str">
        <f t="shared" si="9"/>
        <v>-</v>
      </c>
      <c r="AA54" s="13"/>
      <c r="AB54" s="85" t="str">
        <f t="shared" si="10"/>
        <v>-</v>
      </c>
      <c r="AC54" s="16"/>
      <c r="AD54" s="36" t="str">
        <f>IF(C54="","-", (VLOOKUP(C54, 'Attendance Sheet'!$C$7:$F$62,4,FALSE)))</f>
        <v>-</v>
      </c>
      <c r="AE54" s="18"/>
      <c r="AF54" s="86" t="str">
        <f>IF(AB54 = "INC",
 "INC",
 IF(
  AB54 = "-",
  "-",
  VLOOKUP(AB54,'Grade Config'!$C$6:$D$37,2)
 )
)</f>
        <v>-</v>
      </c>
      <c r="AG54" s="234"/>
      <c r="AH54" s="235"/>
      <c r="AI54" s="235"/>
      <c r="AJ54" s="236"/>
      <c r="AK54" s="14"/>
    </row>
    <row r="55" spans="2:37">
      <c r="B55" s="33">
        <v>39</v>
      </c>
      <c r="C55" s="57" t="str">
        <f>IF('Attendance Sheet'!C46 = "", "", 'Attendance Sheet'!C46)</f>
        <v/>
      </c>
      <c r="D55" s="57" t="str">
        <f>IF('Attendance Sheet'!D46 = "", "", 'Attendance Sheet'!D46)</f>
        <v/>
      </c>
      <c r="E55" s="61" t="str">
        <f>IF('Attendance Sheet'!E46 = "", "", 'Attendance Sheet'!E46)</f>
        <v/>
      </c>
      <c r="F55" s="19"/>
      <c r="G55" s="34"/>
      <c r="H55" s="68" t="str">
        <f t="shared" si="0"/>
        <v>-</v>
      </c>
      <c r="I55" s="397"/>
      <c r="J55" s="68" t="str">
        <f t="shared" si="1"/>
        <v>-</v>
      </c>
      <c r="K55" s="397"/>
      <c r="L55" s="68" t="str">
        <f t="shared" si="2"/>
        <v>-</v>
      </c>
      <c r="M55" s="397"/>
      <c r="N55" s="68" t="str">
        <f t="shared" si="3"/>
        <v>-</v>
      </c>
      <c r="O55" s="397"/>
      <c r="P55" s="68" t="str">
        <f t="shared" si="4"/>
        <v>-</v>
      </c>
      <c r="Q55" s="397"/>
      <c r="R55" s="68" t="str">
        <f t="shared" si="5"/>
        <v>-</v>
      </c>
      <c r="S55" s="397"/>
      <c r="T55" s="68" t="str">
        <f t="shared" si="6"/>
        <v>-</v>
      </c>
      <c r="U55" s="397"/>
      <c r="V55" s="68" t="str">
        <f t="shared" si="7"/>
        <v>-</v>
      </c>
      <c r="W55" s="397"/>
      <c r="X55" s="68" t="str">
        <f t="shared" si="8"/>
        <v>-</v>
      </c>
      <c r="Y55" s="397"/>
      <c r="Z55" s="69" t="str">
        <f t="shared" si="9"/>
        <v>-</v>
      </c>
      <c r="AA55" s="13"/>
      <c r="AB55" s="85" t="str">
        <f t="shared" si="10"/>
        <v>-</v>
      </c>
      <c r="AC55" s="16"/>
      <c r="AD55" s="36" t="str">
        <f>IF(C55="","-", (VLOOKUP(C55, 'Attendance Sheet'!$C$7:$F$62,4,FALSE)))</f>
        <v>-</v>
      </c>
      <c r="AE55" s="18"/>
      <c r="AF55" s="86" t="str">
        <f>IF(AB55 = "INC",
 "INC",
 IF(
  AB55 = "-",
  "-",
  VLOOKUP(AB55,'Grade Config'!$C$6:$D$37,2)
 )
)</f>
        <v>-</v>
      </c>
      <c r="AG55" s="234"/>
      <c r="AH55" s="235"/>
      <c r="AI55" s="235"/>
      <c r="AJ55" s="236"/>
      <c r="AK55" s="14"/>
    </row>
    <row r="56" spans="2:37">
      <c r="B56" s="33">
        <v>40</v>
      </c>
      <c r="C56" s="57" t="str">
        <f>IF('Attendance Sheet'!C47 = "", "", 'Attendance Sheet'!C47)</f>
        <v/>
      </c>
      <c r="D56" s="57" t="str">
        <f>IF('Attendance Sheet'!D47 = "", "", 'Attendance Sheet'!D47)</f>
        <v/>
      </c>
      <c r="E56" s="61" t="str">
        <f>IF('Attendance Sheet'!E47 = "", "", 'Attendance Sheet'!E47)</f>
        <v/>
      </c>
      <c r="F56" s="19"/>
      <c r="G56" s="34"/>
      <c r="H56" s="68" t="str">
        <f t="shared" si="0"/>
        <v>-</v>
      </c>
      <c r="I56" s="397"/>
      <c r="J56" s="68" t="str">
        <f t="shared" si="1"/>
        <v>-</v>
      </c>
      <c r="K56" s="397"/>
      <c r="L56" s="68" t="str">
        <f t="shared" si="2"/>
        <v>-</v>
      </c>
      <c r="M56" s="397"/>
      <c r="N56" s="68" t="str">
        <f t="shared" si="3"/>
        <v>-</v>
      </c>
      <c r="O56" s="397"/>
      <c r="P56" s="68" t="str">
        <f t="shared" si="4"/>
        <v>-</v>
      </c>
      <c r="Q56" s="397"/>
      <c r="R56" s="68" t="str">
        <f t="shared" si="5"/>
        <v>-</v>
      </c>
      <c r="S56" s="397"/>
      <c r="T56" s="68" t="str">
        <f t="shared" si="6"/>
        <v>-</v>
      </c>
      <c r="U56" s="397"/>
      <c r="V56" s="68" t="str">
        <f t="shared" si="7"/>
        <v>-</v>
      </c>
      <c r="W56" s="397"/>
      <c r="X56" s="68" t="str">
        <f t="shared" si="8"/>
        <v>-</v>
      </c>
      <c r="Y56" s="397"/>
      <c r="Z56" s="69" t="str">
        <f t="shared" si="9"/>
        <v>-</v>
      </c>
      <c r="AA56" s="13"/>
      <c r="AB56" s="85" t="str">
        <f t="shared" si="10"/>
        <v>-</v>
      </c>
      <c r="AC56" s="16"/>
      <c r="AD56" s="36" t="str">
        <f>IF(C56="","-", (VLOOKUP(C56, 'Attendance Sheet'!$C$7:$F$62,4,FALSE)))</f>
        <v>-</v>
      </c>
      <c r="AE56" s="18"/>
      <c r="AF56" s="86" t="str">
        <f>IF(AB56 = "INC",
 "INC",
 IF(
  AB56 = "-",
  "-",
  VLOOKUP(AB56,'Grade Config'!$C$6:$D$37,2)
 )
)</f>
        <v>-</v>
      </c>
      <c r="AG56" s="240"/>
      <c r="AH56" s="241"/>
      <c r="AI56" s="241"/>
      <c r="AJ56" s="242"/>
      <c r="AK56" s="14"/>
    </row>
    <row r="57" spans="2:37">
      <c r="B57" s="33">
        <v>41</v>
      </c>
      <c r="C57" s="57" t="str">
        <f>IF('Attendance Sheet'!C48 = "", "", 'Attendance Sheet'!C48)</f>
        <v/>
      </c>
      <c r="D57" s="57" t="str">
        <f>IF('Attendance Sheet'!D48 = "", "", 'Attendance Sheet'!D48)</f>
        <v/>
      </c>
      <c r="E57" s="61" t="str">
        <f>IF('Attendance Sheet'!E48 = "", "", 'Attendance Sheet'!E48)</f>
        <v/>
      </c>
      <c r="F57" s="19"/>
      <c r="G57" s="34"/>
      <c r="H57" s="68" t="str">
        <f t="shared" si="0"/>
        <v>-</v>
      </c>
      <c r="I57" s="397"/>
      <c r="J57" s="68" t="str">
        <f t="shared" si="1"/>
        <v>-</v>
      </c>
      <c r="K57" s="397"/>
      <c r="L57" s="68" t="str">
        <f t="shared" si="2"/>
        <v>-</v>
      </c>
      <c r="M57" s="397"/>
      <c r="N57" s="68" t="str">
        <f t="shared" si="3"/>
        <v>-</v>
      </c>
      <c r="O57" s="397"/>
      <c r="P57" s="68" t="str">
        <f t="shared" si="4"/>
        <v>-</v>
      </c>
      <c r="Q57" s="397"/>
      <c r="R57" s="68" t="str">
        <f t="shared" si="5"/>
        <v>-</v>
      </c>
      <c r="S57" s="397"/>
      <c r="T57" s="68" t="str">
        <f t="shared" si="6"/>
        <v>-</v>
      </c>
      <c r="U57" s="397"/>
      <c r="V57" s="68" t="str">
        <f t="shared" si="7"/>
        <v>-</v>
      </c>
      <c r="W57" s="397"/>
      <c r="X57" s="68" t="str">
        <f t="shared" si="8"/>
        <v>-</v>
      </c>
      <c r="Y57" s="397"/>
      <c r="Z57" s="69" t="str">
        <f t="shared" si="9"/>
        <v>-</v>
      </c>
      <c r="AA57" s="13"/>
      <c r="AB57" s="85" t="str">
        <f t="shared" si="10"/>
        <v>-</v>
      </c>
      <c r="AC57" s="16"/>
      <c r="AD57" s="36" t="str">
        <f>IF(C57="","-", (VLOOKUP(C57, 'Attendance Sheet'!$C$7:$F$62,4,FALSE)))</f>
        <v>-</v>
      </c>
      <c r="AE57" s="18"/>
      <c r="AF57" s="86" t="str">
        <f>IF(AB57 = "INC",
 "INC",
 IF(
  AB57 = "-",
  "-",
  VLOOKUP(AB57,'Grade Config'!$C$6:$D$37,2)
 )
)</f>
        <v>-</v>
      </c>
      <c r="AG57" s="234"/>
      <c r="AH57" s="235"/>
      <c r="AI57" s="235"/>
      <c r="AJ57" s="236"/>
      <c r="AK57" s="14"/>
    </row>
    <row r="58" spans="2:37">
      <c r="B58" s="33">
        <v>42</v>
      </c>
      <c r="C58" s="57" t="str">
        <f>IF('Attendance Sheet'!C49 = "", "", 'Attendance Sheet'!C49)</f>
        <v/>
      </c>
      <c r="D58" s="57" t="str">
        <f>IF('Attendance Sheet'!D49 = "", "", 'Attendance Sheet'!D49)</f>
        <v/>
      </c>
      <c r="E58" s="61" t="str">
        <f>IF('Attendance Sheet'!E49 = "", "", 'Attendance Sheet'!E49)</f>
        <v/>
      </c>
      <c r="F58" s="19"/>
      <c r="G58" s="34"/>
      <c r="H58" s="68" t="str">
        <f t="shared" si="0"/>
        <v>-</v>
      </c>
      <c r="I58" s="397"/>
      <c r="J58" s="68" t="str">
        <f t="shared" si="1"/>
        <v>-</v>
      </c>
      <c r="K58" s="397"/>
      <c r="L58" s="68" t="str">
        <f t="shared" si="2"/>
        <v>-</v>
      </c>
      <c r="M58" s="397"/>
      <c r="N58" s="68" t="str">
        <f t="shared" si="3"/>
        <v>-</v>
      </c>
      <c r="O58" s="397"/>
      <c r="P58" s="68" t="str">
        <f t="shared" si="4"/>
        <v>-</v>
      </c>
      <c r="Q58" s="397"/>
      <c r="R58" s="68" t="str">
        <f t="shared" si="5"/>
        <v>-</v>
      </c>
      <c r="S58" s="397"/>
      <c r="T58" s="68" t="str">
        <f t="shared" si="6"/>
        <v>-</v>
      </c>
      <c r="U58" s="397"/>
      <c r="V58" s="68" t="str">
        <f t="shared" si="7"/>
        <v>-</v>
      </c>
      <c r="W58" s="397"/>
      <c r="X58" s="68" t="str">
        <f t="shared" si="8"/>
        <v>-</v>
      </c>
      <c r="Y58" s="397"/>
      <c r="Z58" s="69" t="str">
        <f t="shared" si="9"/>
        <v>-</v>
      </c>
      <c r="AA58" s="13"/>
      <c r="AB58" s="85" t="str">
        <f t="shared" si="10"/>
        <v>-</v>
      </c>
      <c r="AC58" s="16"/>
      <c r="AD58" s="36" t="str">
        <f>IF(C58="","-", (VLOOKUP(C58, 'Attendance Sheet'!$C$7:$F$62,4,FALSE)))</f>
        <v>-</v>
      </c>
      <c r="AE58" s="18"/>
      <c r="AF58" s="86" t="str">
        <f>IF(AB58 = "INC",
 "INC",
 IF(
  AB58 = "-",
  "-",
  VLOOKUP(AB58,'Grade Config'!$C$6:$D$37,2)
 )
)</f>
        <v>-</v>
      </c>
      <c r="AG58" s="234"/>
      <c r="AH58" s="235"/>
      <c r="AI58" s="235"/>
      <c r="AJ58" s="236"/>
      <c r="AK58" s="14"/>
    </row>
    <row r="59" spans="2:37">
      <c r="B59" s="33">
        <v>43</v>
      </c>
      <c r="C59" s="57" t="str">
        <f>IF('Attendance Sheet'!C50 = "", "", 'Attendance Sheet'!C50)</f>
        <v/>
      </c>
      <c r="D59" s="57" t="str">
        <f>IF('Attendance Sheet'!D50 = "", "", 'Attendance Sheet'!D50)</f>
        <v/>
      </c>
      <c r="E59" s="61" t="str">
        <f>IF('Attendance Sheet'!E50 = "", "", 'Attendance Sheet'!E50)</f>
        <v/>
      </c>
      <c r="F59" s="19"/>
      <c r="G59" s="34"/>
      <c r="H59" s="68" t="str">
        <f t="shared" si="0"/>
        <v>-</v>
      </c>
      <c r="I59" s="397"/>
      <c r="J59" s="68" t="str">
        <f t="shared" si="1"/>
        <v>-</v>
      </c>
      <c r="K59" s="397"/>
      <c r="L59" s="68" t="str">
        <f t="shared" si="2"/>
        <v>-</v>
      </c>
      <c r="M59" s="397"/>
      <c r="N59" s="68" t="str">
        <f t="shared" si="3"/>
        <v>-</v>
      </c>
      <c r="O59" s="397"/>
      <c r="P59" s="68" t="str">
        <f t="shared" si="4"/>
        <v>-</v>
      </c>
      <c r="Q59" s="397"/>
      <c r="R59" s="68" t="str">
        <f t="shared" si="5"/>
        <v>-</v>
      </c>
      <c r="S59" s="397"/>
      <c r="T59" s="68" t="str">
        <f t="shared" si="6"/>
        <v>-</v>
      </c>
      <c r="U59" s="397"/>
      <c r="V59" s="68" t="str">
        <f t="shared" si="7"/>
        <v>-</v>
      </c>
      <c r="W59" s="397"/>
      <c r="X59" s="68" t="str">
        <f t="shared" si="8"/>
        <v>-</v>
      </c>
      <c r="Y59" s="397"/>
      <c r="Z59" s="69" t="str">
        <f t="shared" si="9"/>
        <v>-</v>
      </c>
      <c r="AA59" s="13"/>
      <c r="AB59" s="85" t="str">
        <f t="shared" si="10"/>
        <v>-</v>
      </c>
      <c r="AC59" s="16"/>
      <c r="AD59" s="36" t="str">
        <f>IF(C59="","-", (VLOOKUP(C59, 'Attendance Sheet'!$C$7:$F$62,4,FALSE)))</f>
        <v>-</v>
      </c>
      <c r="AE59" s="18"/>
      <c r="AF59" s="86" t="str">
        <f>IF(AB59 = "INC",
 "INC",
 IF(
  AB59 = "-",
  "-",
  VLOOKUP(AB59,'Grade Config'!$C$6:$D$37,2)
 )
)</f>
        <v>-</v>
      </c>
      <c r="AG59" s="234"/>
      <c r="AH59" s="235"/>
      <c r="AI59" s="235"/>
      <c r="AJ59" s="236"/>
      <c r="AK59" s="14"/>
    </row>
    <row r="60" spans="2:37">
      <c r="B60" s="33">
        <v>44</v>
      </c>
      <c r="C60" s="57" t="str">
        <f>IF('Attendance Sheet'!C51 = "", "", 'Attendance Sheet'!C51)</f>
        <v/>
      </c>
      <c r="D60" s="57" t="str">
        <f>IF('Attendance Sheet'!D51 = "", "", 'Attendance Sheet'!D51)</f>
        <v/>
      </c>
      <c r="E60" s="61" t="str">
        <f>IF('Attendance Sheet'!E51 = "", "", 'Attendance Sheet'!E51)</f>
        <v/>
      </c>
      <c r="F60" s="19"/>
      <c r="G60" s="34"/>
      <c r="H60" s="68" t="str">
        <f t="shared" si="0"/>
        <v>-</v>
      </c>
      <c r="I60" s="397"/>
      <c r="J60" s="68" t="str">
        <f t="shared" si="1"/>
        <v>-</v>
      </c>
      <c r="K60" s="397"/>
      <c r="L60" s="68" t="str">
        <f t="shared" si="2"/>
        <v>-</v>
      </c>
      <c r="M60" s="397"/>
      <c r="N60" s="68" t="str">
        <f t="shared" si="3"/>
        <v>-</v>
      </c>
      <c r="O60" s="397"/>
      <c r="P60" s="68" t="str">
        <f t="shared" si="4"/>
        <v>-</v>
      </c>
      <c r="Q60" s="397"/>
      <c r="R60" s="68" t="str">
        <f t="shared" si="5"/>
        <v>-</v>
      </c>
      <c r="S60" s="397"/>
      <c r="T60" s="68" t="str">
        <f t="shared" si="6"/>
        <v>-</v>
      </c>
      <c r="U60" s="397"/>
      <c r="V60" s="68" t="str">
        <f t="shared" si="7"/>
        <v>-</v>
      </c>
      <c r="W60" s="397"/>
      <c r="X60" s="68" t="str">
        <f t="shared" si="8"/>
        <v>-</v>
      </c>
      <c r="Y60" s="397"/>
      <c r="Z60" s="69" t="str">
        <f t="shared" si="9"/>
        <v>-</v>
      </c>
      <c r="AA60" s="13"/>
      <c r="AB60" s="85" t="str">
        <f t="shared" si="10"/>
        <v>-</v>
      </c>
      <c r="AC60" s="16"/>
      <c r="AD60" s="36" t="str">
        <f>IF(C60="","-", (VLOOKUP(C60, 'Attendance Sheet'!$C$7:$F$62,4,FALSE)))</f>
        <v>-</v>
      </c>
      <c r="AE60" s="18"/>
      <c r="AF60" s="86" t="str">
        <f>IF(AB60 = "INC",
 "INC",
 IF(
  AB60 = "-",
  "-",
  VLOOKUP(AB60,'Grade Config'!$C$6:$D$37,2)
 )
)</f>
        <v>-</v>
      </c>
      <c r="AG60" s="234"/>
      <c r="AH60" s="235"/>
      <c r="AI60" s="235"/>
      <c r="AJ60" s="236"/>
      <c r="AK60" s="14"/>
    </row>
    <row r="61" spans="2:37">
      <c r="B61" s="33">
        <v>45</v>
      </c>
      <c r="C61" s="57" t="str">
        <f>IF('Attendance Sheet'!C52 = "", "", 'Attendance Sheet'!C52)</f>
        <v/>
      </c>
      <c r="D61" s="57" t="str">
        <f>IF('Attendance Sheet'!D52 = "", "", 'Attendance Sheet'!D52)</f>
        <v/>
      </c>
      <c r="E61" s="61" t="str">
        <f>IF('Attendance Sheet'!E52 = "", "", 'Attendance Sheet'!E52)</f>
        <v/>
      </c>
      <c r="F61" s="19"/>
      <c r="G61" s="34"/>
      <c r="H61" s="68" t="str">
        <f t="shared" si="0"/>
        <v>-</v>
      </c>
      <c r="I61" s="397"/>
      <c r="J61" s="68" t="str">
        <f t="shared" si="1"/>
        <v>-</v>
      </c>
      <c r="K61" s="397"/>
      <c r="L61" s="68" t="str">
        <f t="shared" si="2"/>
        <v>-</v>
      </c>
      <c r="M61" s="397"/>
      <c r="N61" s="68" t="str">
        <f t="shared" si="3"/>
        <v>-</v>
      </c>
      <c r="O61" s="397"/>
      <c r="P61" s="68" t="str">
        <f t="shared" si="4"/>
        <v>-</v>
      </c>
      <c r="Q61" s="397"/>
      <c r="R61" s="68" t="str">
        <f t="shared" si="5"/>
        <v>-</v>
      </c>
      <c r="S61" s="397"/>
      <c r="T61" s="68" t="str">
        <f t="shared" si="6"/>
        <v>-</v>
      </c>
      <c r="U61" s="397"/>
      <c r="V61" s="68" t="str">
        <f t="shared" si="7"/>
        <v>-</v>
      </c>
      <c r="W61" s="397"/>
      <c r="X61" s="68" t="str">
        <f t="shared" si="8"/>
        <v>-</v>
      </c>
      <c r="Y61" s="397"/>
      <c r="Z61" s="69" t="str">
        <f t="shared" si="9"/>
        <v>-</v>
      </c>
      <c r="AA61" s="13"/>
      <c r="AB61" s="85" t="str">
        <f t="shared" si="10"/>
        <v>-</v>
      </c>
      <c r="AC61" s="16"/>
      <c r="AD61" s="36" t="str">
        <f>IF(C61="","-", (VLOOKUP(C61, 'Attendance Sheet'!$C$7:$F$62,4,FALSE)))</f>
        <v>-</v>
      </c>
      <c r="AE61" s="18"/>
      <c r="AF61" s="86" t="str">
        <f>IF(AB61 = "INC",
 "INC",
 IF(
  AB61 = "-",
  "-",
  VLOOKUP(AB61,'Grade Config'!$C$6:$D$37,2)
 )
)</f>
        <v>-</v>
      </c>
      <c r="AG61" s="234"/>
      <c r="AH61" s="235"/>
      <c r="AI61" s="235"/>
      <c r="AJ61" s="236"/>
      <c r="AK61" s="14"/>
    </row>
    <row r="62" spans="2:37">
      <c r="B62" s="33">
        <v>46</v>
      </c>
      <c r="C62" s="57" t="str">
        <f>IF('Attendance Sheet'!C53 = "", "", 'Attendance Sheet'!C53)</f>
        <v/>
      </c>
      <c r="D62" s="57" t="str">
        <f>IF('Attendance Sheet'!D53 = "", "", 'Attendance Sheet'!D53)</f>
        <v/>
      </c>
      <c r="E62" s="61" t="str">
        <f>IF('Attendance Sheet'!E53 = "", "", 'Attendance Sheet'!E53)</f>
        <v/>
      </c>
      <c r="F62" s="19"/>
      <c r="G62" s="34"/>
      <c r="H62" s="68" t="str">
        <f t="shared" si="0"/>
        <v>-</v>
      </c>
      <c r="I62" s="397"/>
      <c r="J62" s="68" t="str">
        <f t="shared" si="1"/>
        <v>-</v>
      </c>
      <c r="K62" s="397"/>
      <c r="L62" s="68" t="str">
        <f t="shared" si="2"/>
        <v>-</v>
      </c>
      <c r="M62" s="397"/>
      <c r="N62" s="68" t="str">
        <f t="shared" si="3"/>
        <v>-</v>
      </c>
      <c r="O62" s="397"/>
      <c r="P62" s="68" t="str">
        <f t="shared" si="4"/>
        <v>-</v>
      </c>
      <c r="Q62" s="397"/>
      <c r="R62" s="68" t="str">
        <f t="shared" si="5"/>
        <v>-</v>
      </c>
      <c r="S62" s="397"/>
      <c r="T62" s="68" t="str">
        <f t="shared" si="6"/>
        <v>-</v>
      </c>
      <c r="U62" s="397"/>
      <c r="V62" s="68" t="str">
        <f t="shared" si="7"/>
        <v>-</v>
      </c>
      <c r="W62" s="397"/>
      <c r="X62" s="68" t="str">
        <f t="shared" si="8"/>
        <v>-</v>
      </c>
      <c r="Y62" s="397"/>
      <c r="Z62" s="69" t="str">
        <f t="shared" si="9"/>
        <v>-</v>
      </c>
      <c r="AA62" s="13"/>
      <c r="AB62" s="85" t="str">
        <f t="shared" si="10"/>
        <v>-</v>
      </c>
      <c r="AC62" s="16"/>
      <c r="AD62" s="36" t="str">
        <f>IF(C62="","-", (VLOOKUP(C62, 'Attendance Sheet'!$C$7:$F$62,4,FALSE)))</f>
        <v>-</v>
      </c>
      <c r="AE62" s="18"/>
      <c r="AF62" s="86" t="str">
        <f>IF(AB62 = "INC",
 "INC",
 IF(
  AB62 = "-",
  "-",
  VLOOKUP(AB62,'Grade Config'!$C$6:$D$37,2)
 )
)</f>
        <v>-</v>
      </c>
      <c r="AG62" s="234"/>
      <c r="AH62" s="235"/>
      <c r="AI62" s="235"/>
      <c r="AJ62" s="236"/>
      <c r="AK62" s="14"/>
    </row>
    <row r="63" spans="2:37">
      <c r="B63" s="33">
        <v>47</v>
      </c>
      <c r="C63" s="57" t="str">
        <f>IF('Attendance Sheet'!C54 = "", "", 'Attendance Sheet'!C54)</f>
        <v/>
      </c>
      <c r="D63" s="57" t="str">
        <f>IF('Attendance Sheet'!D54 = "", "", 'Attendance Sheet'!D54)</f>
        <v/>
      </c>
      <c r="E63" s="61" t="str">
        <f>IF('Attendance Sheet'!E54 = "", "", 'Attendance Sheet'!E54)</f>
        <v/>
      </c>
      <c r="F63" s="19"/>
      <c r="G63" s="34"/>
      <c r="H63" s="68" t="str">
        <f t="shared" si="0"/>
        <v>-</v>
      </c>
      <c r="I63" s="397"/>
      <c r="J63" s="68" t="str">
        <f t="shared" si="1"/>
        <v>-</v>
      </c>
      <c r="K63" s="397"/>
      <c r="L63" s="68" t="str">
        <f t="shared" si="2"/>
        <v>-</v>
      </c>
      <c r="M63" s="397"/>
      <c r="N63" s="68" t="str">
        <f t="shared" si="3"/>
        <v>-</v>
      </c>
      <c r="O63" s="397"/>
      <c r="P63" s="68" t="str">
        <f t="shared" si="4"/>
        <v>-</v>
      </c>
      <c r="Q63" s="397"/>
      <c r="R63" s="68" t="str">
        <f t="shared" si="5"/>
        <v>-</v>
      </c>
      <c r="S63" s="397"/>
      <c r="T63" s="68" t="str">
        <f t="shared" si="6"/>
        <v>-</v>
      </c>
      <c r="U63" s="397"/>
      <c r="V63" s="68" t="str">
        <f t="shared" si="7"/>
        <v>-</v>
      </c>
      <c r="W63" s="397"/>
      <c r="X63" s="68" t="str">
        <f t="shared" si="8"/>
        <v>-</v>
      </c>
      <c r="Y63" s="397"/>
      <c r="Z63" s="69" t="str">
        <f t="shared" si="9"/>
        <v>-</v>
      </c>
      <c r="AA63" s="13"/>
      <c r="AB63" s="85" t="str">
        <f t="shared" si="10"/>
        <v>-</v>
      </c>
      <c r="AC63" s="16"/>
      <c r="AD63" s="36" t="str">
        <f>IF(C63="","-", (VLOOKUP(C63, 'Attendance Sheet'!$C$7:$F$62,4,FALSE)))</f>
        <v>-</v>
      </c>
      <c r="AE63" s="18"/>
      <c r="AF63" s="86" t="str">
        <f>IF(AB63 = "INC",
 "INC",
 IF(
  AB63 = "-",
  "-",
  VLOOKUP(AB63,'Grade Config'!$C$6:$D$37,2)
 )
)</f>
        <v>-</v>
      </c>
      <c r="AG63" s="234"/>
      <c r="AH63" s="235"/>
      <c r="AI63" s="235"/>
      <c r="AJ63" s="236"/>
      <c r="AK63" s="14"/>
    </row>
    <row r="64" spans="2:37">
      <c r="B64" s="33">
        <v>48</v>
      </c>
      <c r="C64" s="57" t="str">
        <f>IF('Attendance Sheet'!C55 = "", "", 'Attendance Sheet'!C55)</f>
        <v/>
      </c>
      <c r="D64" s="57" t="str">
        <f>IF('Attendance Sheet'!D55 = "", "", 'Attendance Sheet'!D55)</f>
        <v/>
      </c>
      <c r="E64" s="61" t="str">
        <f>IF('Attendance Sheet'!E55 = "", "", 'Attendance Sheet'!E55)</f>
        <v/>
      </c>
      <c r="F64" s="19"/>
      <c r="G64" s="34"/>
      <c r="H64" s="68" t="str">
        <f t="shared" si="0"/>
        <v>-</v>
      </c>
      <c r="I64" s="397"/>
      <c r="J64" s="68" t="str">
        <f t="shared" si="1"/>
        <v>-</v>
      </c>
      <c r="K64" s="397"/>
      <c r="L64" s="68" t="str">
        <f t="shared" si="2"/>
        <v>-</v>
      </c>
      <c r="M64" s="397"/>
      <c r="N64" s="68" t="str">
        <f t="shared" si="3"/>
        <v>-</v>
      </c>
      <c r="O64" s="397"/>
      <c r="P64" s="68" t="str">
        <f t="shared" si="4"/>
        <v>-</v>
      </c>
      <c r="Q64" s="397"/>
      <c r="R64" s="68" t="str">
        <f t="shared" si="5"/>
        <v>-</v>
      </c>
      <c r="S64" s="397"/>
      <c r="T64" s="68" t="str">
        <f t="shared" si="6"/>
        <v>-</v>
      </c>
      <c r="U64" s="397"/>
      <c r="V64" s="68" t="str">
        <f t="shared" si="7"/>
        <v>-</v>
      </c>
      <c r="W64" s="397"/>
      <c r="X64" s="68" t="str">
        <f t="shared" si="8"/>
        <v>-</v>
      </c>
      <c r="Y64" s="397"/>
      <c r="Z64" s="69" t="str">
        <f t="shared" si="9"/>
        <v>-</v>
      </c>
      <c r="AA64" s="13"/>
      <c r="AB64" s="85" t="str">
        <f t="shared" si="10"/>
        <v>-</v>
      </c>
      <c r="AC64" s="16"/>
      <c r="AD64" s="36" t="str">
        <f>IF(C64="","-", (VLOOKUP(C64, 'Attendance Sheet'!$C$7:$F$62,4,FALSE)))</f>
        <v>-</v>
      </c>
      <c r="AE64" s="18"/>
      <c r="AF64" s="86" t="str">
        <f>IF(AB64 = "INC",
 "INC",
 IF(
  AB64 = "-",
  "-",
  VLOOKUP(AB64,'Grade Config'!$C$6:$D$37,2)
 )
)</f>
        <v>-</v>
      </c>
      <c r="AG64" s="234"/>
      <c r="AH64" s="235"/>
      <c r="AI64" s="235"/>
      <c r="AJ64" s="236"/>
      <c r="AK64" s="14"/>
    </row>
    <row r="65" spans="2:37">
      <c r="B65" s="33">
        <v>49</v>
      </c>
      <c r="C65" s="57" t="str">
        <f>IF('Attendance Sheet'!C56 = "", "", 'Attendance Sheet'!C56)</f>
        <v/>
      </c>
      <c r="D65" s="57" t="str">
        <f>IF('Attendance Sheet'!D56 = "", "", 'Attendance Sheet'!D56)</f>
        <v/>
      </c>
      <c r="E65" s="61" t="str">
        <f>IF('Attendance Sheet'!E56 = "", "", 'Attendance Sheet'!E56)</f>
        <v/>
      </c>
      <c r="F65" s="19"/>
      <c r="G65" s="34"/>
      <c r="H65" s="68" t="str">
        <f t="shared" si="0"/>
        <v>-</v>
      </c>
      <c r="I65" s="397"/>
      <c r="J65" s="68" t="str">
        <f t="shared" si="1"/>
        <v>-</v>
      </c>
      <c r="K65" s="397"/>
      <c r="L65" s="68" t="str">
        <f t="shared" si="2"/>
        <v>-</v>
      </c>
      <c r="M65" s="397"/>
      <c r="N65" s="68" t="str">
        <f t="shared" si="3"/>
        <v>-</v>
      </c>
      <c r="O65" s="397"/>
      <c r="P65" s="68" t="str">
        <f t="shared" si="4"/>
        <v>-</v>
      </c>
      <c r="Q65" s="397"/>
      <c r="R65" s="68" t="str">
        <f t="shared" si="5"/>
        <v>-</v>
      </c>
      <c r="S65" s="397"/>
      <c r="T65" s="68" t="str">
        <f t="shared" si="6"/>
        <v>-</v>
      </c>
      <c r="U65" s="397"/>
      <c r="V65" s="68" t="str">
        <f t="shared" si="7"/>
        <v>-</v>
      </c>
      <c r="W65" s="397"/>
      <c r="X65" s="68" t="str">
        <f t="shared" si="8"/>
        <v>-</v>
      </c>
      <c r="Y65" s="397"/>
      <c r="Z65" s="69" t="str">
        <f t="shared" si="9"/>
        <v>-</v>
      </c>
      <c r="AA65" s="13"/>
      <c r="AB65" s="85" t="str">
        <f t="shared" si="10"/>
        <v>-</v>
      </c>
      <c r="AC65" s="16"/>
      <c r="AD65" s="36" t="str">
        <f>IF(C65="","-", (VLOOKUP(C65, 'Attendance Sheet'!$C$7:$F$62,4,FALSE)))</f>
        <v>-</v>
      </c>
      <c r="AE65" s="18"/>
      <c r="AF65" s="86" t="str">
        <f>IF(AB65 = "INC",
 "INC",
 IF(
  AB65 = "-",
  "-",
  VLOOKUP(AB65,'Grade Config'!$C$6:$D$37,2)
 )
)</f>
        <v>-</v>
      </c>
      <c r="AG65" s="234"/>
      <c r="AH65" s="235"/>
      <c r="AI65" s="235"/>
      <c r="AJ65" s="236"/>
      <c r="AK65" s="14"/>
    </row>
    <row r="66" spans="2:37">
      <c r="B66" s="33">
        <v>50</v>
      </c>
      <c r="C66" s="57" t="str">
        <f>IF('Attendance Sheet'!C57 = "", "", 'Attendance Sheet'!C57)</f>
        <v/>
      </c>
      <c r="D66" s="57" t="str">
        <f>IF('Attendance Sheet'!D57 = "", "", 'Attendance Sheet'!D57)</f>
        <v/>
      </c>
      <c r="E66" s="61" t="str">
        <f>IF('Attendance Sheet'!E57 = "", "", 'Attendance Sheet'!E57)</f>
        <v/>
      </c>
      <c r="F66" s="19"/>
      <c r="G66" s="34"/>
      <c r="H66" s="68" t="str">
        <f t="shared" si="0"/>
        <v>-</v>
      </c>
      <c r="I66" s="397"/>
      <c r="J66" s="68" t="str">
        <f t="shared" si="1"/>
        <v>-</v>
      </c>
      <c r="K66" s="397"/>
      <c r="L66" s="68" t="str">
        <f t="shared" si="2"/>
        <v>-</v>
      </c>
      <c r="M66" s="397"/>
      <c r="N66" s="68" t="str">
        <f t="shared" si="3"/>
        <v>-</v>
      </c>
      <c r="O66" s="397"/>
      <c r="P66" s="68" t="str">
        <f t="shared" si="4"/>
        <v>-</v>
      </c>
      <c r="Q66" s="397"/>
      <c r="R66" s="68" t="str">
        <f t="shared" si="5"/>
        <v>-</v>
      </c>
      <c r="S66" s="397"/>
      <c r="T66" s="68" t="str">
        <f t="shared" si="6"/>
        <v>-</v>
      </c>
      <c r="U66" s="397"/>
      <c r="V66" s="68" t="str">
        <f t="shared" si="7"/>
        <v>-</v>
      </c>
      <c r="W66" s="397"/>
      <c r="X66" s="68" t="str">
        <f t="shared" si="8"/>
        <v>-</v>
      </c>
      <c r="Y66" s="397"/>
      <c r="Z66" s="69" t="str">
        <f t="shared" si="9"/>
        <v>-</v>
      </c>
      <c r="AA66" s="13"/>
      <c r="AB66" s="85" t="str">
        <f t="shared" si="10"/>
        <v>-</v>
      </c>
      <c r="AC66" s="16"/>
      <c r="AD66" s="36" t="str">
        <f>IF(C66="","-", (VLOOKUP(C66, 'Attendance Sheet'!$C$7:$F$62,4,FALSE)))</f>
        <v>-</v>
      </c>
      <c r="AE66" s="18"/>
      <c r="AF66" s="86" t="str">
        <f>IF(AB66 = "INC",
 "INC",
 IF(
  AB66 = "-",
  "-",
  VLOOKUP(AB66,'Grade Config'!$C$6:$D$37,2)
 )
)</f>
        <v>-</v>
      </c>
      <c r="AG66" s="234"/>
      <c r="AH66" s="235"/>
      <c r="AI66" s="235"/>
      <c r="AJ66" s="236"/>
      <c r="AK66" s="14"/>
    </row>
    <row r="67" spans="2:37">
      <c r="B67" s="33">
        <v>51</v>
      </c>
      <c r="C67" s="57" t="str">
        <f>IF('Attendance Sheet'!C58 = "", "", 'Attendance Sheet'!C58)</f>
        <v/>
      </c>
      <c r="D67" s="57" t="str">
        <f>IF('Attendance Sheet'!D58 = "", "", 'Attendance Sheet'!D58)</f>
        <v/>
      </c>
      <c r="E67" s="61" t="str">
        <f>IF('Attendance Sheet'!E58 = "", "", 'Attendance Sheet'!E58)</f>
        <v/>
      </c>
      <c r="F67" s="19"/>
      <c r="G67" s="34"/>
      <c r="H67" s="68" t="str">
        <f t="shared" si="0"/>
        <v>-</v>
      </c>
      <c r="I67" s="397"/>
      <c r="J67" s="68" t="str">
        <f t="shared" si="1"/>
        <v>-</v>
      </c>
      <c r="K67" s="397"/>
      <c r="L67" s="68" t="str">
        <f t="shared" si="2"/>
        <v>-</v>
      </c>
      <c r="M67" s="397"/>
      <c r="N67" s="68" t="str">
        <f t="shared" si="3"/>
        <v>-</v>
      </c>
      <c r="O67" s="397"/>
      <c r="P67" s="68" t="str">
        <f t="shared" si="4"/>
        <v>-</v>
      </c>
      <c r="Q67" s="397"/>
      <c r="R67" s="68" t="str">
        <f t="shared" si="5"/>
        <v>-</v>
      </c>
      <c r="S67" s="397"/>
      <c r="T67" s="68" t="str">
        <f t="shared" si="6"/>
        <v>-</v>
      </c>
      <c r="U67" s="397"/>
      <c r="V67" s="68" t="str">
        <f t="shared" si="7"/>
        <v>-</v>
      </c>
      <c r="W67" s="397"/>
      <c r="X67" s="68" t="str">
        <f t="shared" si="8"/>
        <v>-</v>
      </c>
      <c r="Y67" s="397"/>
      <c r="Z67" s="69" t="str">
        <f t="shared" si="9"/>
        <v>-</v>
      </c>
      <c r="AA67" s="13"/>
      <c r="AB67" s="85" t="str">
        <f t="shared" si="10"/>
        <v>-</v>
      </c>
      <c r="AC67" s="16"/>
      <c r="AD67" s="36" t="str">
        <f>IF(C67="","-", (VLOOKUP(C67, 'Attendance Sheet'!$C$7:$F$62,4,FALSE)))</f>
        <v>-</v>
      </c>
      <c r="AE67" s="18"/>
      <c r="AF67" s="86" t="str">
        <f>IF(AB67 = "INC",
 "INC",
 IF(
  AB67 = "-",
  "-",
  VLOOKUP(AB67,'Grade Config'!$C$6:$D$37,2)
 )
)</f>
        <v>-</v>
      </c>
      <c r="AG67" s="234"/>
      <c r="AH67" s="235"/>
      <c r="AI67" s="235"/>
      <c r="AJ67" s="236"/>
      <c r="AK67" s="14"/>
    </row>
    <row r="68" spans="2:37">
      <c r="B68" s="33">
        <v>52</v>
      </c>
      <c r="C68" s="57" t="str">
        <f>IF('Attendance Sheet'!C59 = "", "", 'Attendance Sheet'!C59)</f>
        <v/>
      </c>
      <c r="D68" s="57" t="str">
        <f>IF('Attendance Sheet'!D59 = "", "", 'Attendance Sheet'!D59)</f>
        <v/>
      </c>
      <c r="E68" s="61" t="str">
        <f>IF('Attendance Sheet'!E59 = "", "", 'Attendance Sheet'!E59)</f>
        <v/>
      </c>
      <c r="F68" s="19"/>
      <c r="G68" s="34"/>
      <c r="H68" s="68" t="str">
        <f t="shared" si="0"/>
        <v>-</v>
      </c>
      <c r="I68" s="397"/>
      <c r="J68" s="68" t="str">
        <f t="shared" si="1"/>
        <v>-</v>
      </c>
      <c r="K68" s="397"/>
      <c r="L68" s="68" t="str">
        <f t="shared" si="2"/>
        <v>-</v>
      </c>
      <c r="M68" s="397"/>
      <c r="N68" s="68" t="str">
        <f t="shared" si="3"/>
        <v>-</v>
      </c>
      <c r="O68" s="397"/>
      <c r="P68" s="68" t="str">
        <f t="shared" si="4"/>
        <v>-</v>
      </c>
      <c r="Q68" s="397"/>
      <c r="R68" s="68" t="str">
        <f t="shared" si="5"/>
        <v>-</v>
      </c>
      <c r="S68" s="397"/>
      <c r="T68" s="68" t="str">
        <f t="shared" si="6"/>
        <v>-</v>
      </c>
      <c r="U68" s="397"/>
      <c r="V68" s="68" t="str">
        <f t="shared" si="7"/>
        <v>-</v>
      </c>
      <c r="W68" s="397"/>
      <c r="X68" s="68" t="str">
        <f t="shared" si="8"/>
        <v>-</v>
      </c>
      <c r="Y68" s="397"/>
      <c r="Z68" s="69" t="str">
        <f t="shared" si="9"/>
        <v>-</v>
      </c>
      <c r="AA68" s="13"/>
      <c r="AB68" s="85" t="str">
        <f t="shared" si="10"/>
        <v>-</v>
      </c>
      <c r="AC68" s="16"/>
      <c r="AD68" s="36" t="str">
        <f>IF(C68="","-", (VLOOKUP(C68, 'Attendance Sheet'!$C$7:$F$62,4,FALSE)))</f>
        <v>-</v>
      </c>
      <c r="AE68" s="18"/>
      <c r="AF68" s="86" t="str">
        <f>IF(AB68 = "INC",
 "INC",
 IF(
  AB68 = "-",
  "-",
  VLOOKUP(AB68,'Grade Config'!$C$6:$D$37,2)
 )
)</f>
        <v>-</v>
      </c>
      <c r="AG68" s="234"/>
      <c r="AH68" s="235"/>
      <c r="AI68" s="235"/>
      <c r="AJ68" s="236"/>
      <c r="AK68" s="14"/>
    </row>
    <row r="69" spans="2:37">
      <c r="B69" s="33">
        <v>53</v>
      </c>
      <c r="C69" s="57" t="str">
        <f>IF('Attendance Sheet'!C60 = "", "", 'Attendance Sheet'!C60)</f>
        <v/>
      </c>
      <c r="D69" s="57" t="str">
        <f>IF('Attendance Sheet'!D60 = "", "", 'Attendance Sheet'!D60)</f>
        <v/>
      </c>
      <c r="E69" s="61" t="str">
        <f>IF('Attendance Sheet'!E60 = "", "", 'Attendance Sheet'!E60)</f>
        <v/>
      </c>
      <c r="F69" s="19"/>
      <c r="G69" s="34"/>
      <c r="H69" s="68" t="str">
        <f t="shared" si="0"/>
        <v>-</v>
      </c>
      <c r="I69" s="397"/>
      <c r="J69" s="68" t="str">
        <f t="shared" si="1"/>
        <v>-</v>
      </c>
      <c r="K69" s="397"/>
      <c r="L69" s="68" t="str">
        <f t="shared" si="2"/>
        <v>-</v>
      </c>
      <c r="M69" s="397"/>
      <c r="N69" s="68" t="str">
        <f t="shared" si="3"/>
        <v>-</v>
      </c>
      <c r="O69" s="397"/>
      <c r="P69" s="68" t="str">
        <f t="shared" si="4"/>
        <v>-</v>
      </c>
      <c r="Q69" s="397"/>
      <c r="R69" s="68" t="str">
        <f t="shared" si="5"/>
        <v>-</v>
      </c>
      <c r="S69" s="397"/>
      <c r="T69" s="68" t="str">
        <f t="shared" si="6"/>
        <v>-</v>
      </c>
      <c r="U69" s="397"/>
      <c r="V69" s="68" t="str">
        <f t="shared" si="7"/>
        <v>-</v>
      </c>
      <c r="W69" s="397"/>
      <c r="X69" s="68" t="str">
        <f t="shared" si="8"/>
        <v>-</v>
      </c>
      <c r="Y69" s="397"/>
      <c r="Z69" s="69" t="str">
        <f t="shared" si="9"/>
        <v>-</v>
      </c>
      <c r="AA69" s="13"/>
      <c r="AB69" s="85" t="str">
        <f t="shared" si="10"/>
        <v>-</v>
      </c>
      <c r="AC69" s="16"/>
      <c r="AD69" s="36" t="str">
        <f>IF(C69="","-", (VLOOKUP(C69, 'Attendance Sheet'!$C$7:$F$62,4,FALSE)))</f>
        <v>-</v>
      </c>
      <c r="AE69" s="18"/>
      <c r="AF69" s="86" t="str">
        <f>IF(AB69 = "INC",
 "INC",
 IF(
  AB69 = "-",
  "-",
  VLOOKUP(AB69,'Grade Config'!$C$6:$D$37,2)
 )
)</f>
        <v>-</v>
      </c>
      <c r="AG69" s="234"/>
      <c r="AH69" s="235"/>
      <c r="AI69" s="235"/>
      <c r="AJ69" s="236"/>
      <c r="AK69" s="14"/>
    </row>
    <row r="70" spans="2:37">
      <c r="B70" s="33">
        <v>54</v>
      </c>
      <c r="C70" s="57" t="str">
        <f>IF('Attendance Sheet'!C61 = "", "", 'Attendance Sheet'!C61)</f>
        <v/>
      </c>
      <c r="D70" s="57" t="str">
        <f>IF('Attendance Sheet'!D61 = "", "", 'Attendance Sheet'!D61)</f>
        <v/>
      </c>
      <c r="E70" s="61" t="str">
        <f>IF('Attendance Sheet'!E61 = "", "", 'Attendance Sheet'!E61)</f>
        <v/>
      </c>
      <c r="F70" s="19"/>
      <c r="G70" s="34"/>
      <c r="H70" s="68" t="str">
        <f t="shared" si="0"/>
        <v>-</v>
      </c>
      <c r="I70" s="397"/>
      <c r="J70" s="68" t="str">
        <f t="shared" si="1"/>
        <v>-</v>
      </c>
      <c r="K70" s="397"/>
      <c r="L70" s="68" t="str">
        <f t="shared" si="2"/>
        <v>-</v>
      </c>
      <c r="M70" s="397"/>
      <c r="N70" s="68" t="str">
        <f t="shared" si="3"/>
        <v>-</v>
      </c>
      <c r="O70" s="397"/>
      <c r="P70" s="68" t="str">
        <f t="shared" si="4"/>
        <v>-</v>
      </c>
      <c r="Q70" s="397"/>
      <c r="R70" s="68" t="str">
        <f t="shared" si="5"/>
        <v>-</v>
      </c>
      <c r="S70" s="397"/>
      <c r="T70" s="68" t="str">
        <f t="shared" si="6"/>
        <v>-</v>
      </c>
      <c r="U70" s="397"/>
      <c r="V70" s="68" t="str">
        <f t="shared" si="7"/>
        <v>-</v>
      </c>
      <c r="W70" s="397"/>
      <c r="X70" s="68" t="str">
        <f t="shared" si="8"/>
        <v>-</v>
      </c>
      <c r="Y70" s="397"/>
      <c r="Z70" s="69" t="str">
        <f t="shared" si="9"/>
        <v>-</v>
      </c>
      <c r="AA70" s="13"/>
      <c r="AB70" s="85" t="str">
        <f t="shared" si="10"/>
        <v>-</v>
      </c>
      <c r="AC70" s="16"/>
      <c r="AD70" s="36" t="str">
        <f>IF(C70="","-", (VLOOKUP(C70, 'Attendance Sheet'!$C$7:$F$62,4,FALSE)))</f>
        <v>-</v>
      </c>
      <c r="AE70" s="18"/>
      <c r="AF70" s="86" t="str">
        <f>IF(AB70 = "INC",
 "INC",
 IF(
  AB70 = "-",
  "-",
  VLOOKUP(AB70,'Grade Config'!$C$6:$D$37,2)
 )
)</f>
        <v>-</v>
      </c>
      <c r="AG70" s="234"/>
      <c r="AH70" s="235"/>
      <c r="AI70" s="235"/>
      <c r="AJ70" s="236"/>
      <c r="AK70" s="14"/>
    </row>
    <row r="71" spans="2:37" ht="14.4" thickBot="1">
      <c r="B71" s="65">
        <v>55</v>
      </c>
      <c r="C71" s="59" t="str">
        <f>IF('Attendance Sheet'!C62 = "", "", 'Attendance Sheet'!C62)</f>
        <v/>
      </c>
      <c r="D71" s="59" t="str">
        <f>IF('Attendance Sheet'!D62 = "", "", 'Attendance Sheet'!D62)</f>
        <v/>
      </c>
      <c r="E71" s="62" t="str">
        <f>IF('Attendance Sheet'!E62 = "", "", 'Attendance Sheet'!E62)</f>
        <v/>
      </c>
      <c r="F71" s="19"/>
      <c r="G71" s="35"/>
      <c r="H71" s="66" t="str">
        <f t="shared" si="0"/>
        <v>-</v>
      </c>
      <c r="I71" s="396"/>
      <c r="J71" s="66" t="str">
        <f t="shared" si="1"/>
        <v>-</v>
      </c>
      <c r="K71" s="396"/>
      <c r="L71" s="66" t="str">
        <f t="shared" si="2"/>
        <v>-</v>
      </c>
      <c r="M71" s="396"/>
      <c r="N71" s="66" t="str">
        <f t="shared" si="3"/>
        <v>-</v>
      </c>
      <c r="O71" s="396"/>
      <c r="P71" s="66" t="str">
        <f t="shared" si="4"/>
        <v>-</v>
      </c>
      <c r="Q71" s="396"/>
      <c r="R71" s="66" t="str">
        <f t="shared" si="5"/>
        <v>-</v>
      </c>
      <c r="S71" s="396"/>
      <c r="T71" s="66" t="str">
        <f t="shared" si="6"/>
        <v>-</v>
      </c>
      <c r="U71" s="396"/>
      <c r="V71" s="66" t="str">
        <f t="shared" si="7"/>
        <v>-</v>
      </c>
      <c r="W71" s="396"/>
      <c r="X71" s="66" t="str">
        <f t="shared" si="8"/>
        <v>-</v>
      </c>
      <c r="Y71" s="396"/>
      <c r="Z71" s="67" t="str">
        <f t="shared" si="9"/>
        <v>-</v>
      </c>
      <c r="AA71" s="13"/>
      <c r="AB71" s="83" t="str">
        <f t="shared" si="10"/>
        <v>-</v>
      </c>
      <c r="AC71" s="16"/>
      <c r="AD71" s="37" t="str">
        <f>IF(C71="","-", (VLOOKUP(C71, 'Attendance Sheet'!$C$7:$F$62,4,FALSE)))</f>
        <v>-</v>
      </c>
      <c r="AE71" s="18"/>
      <c r="AF71" s="84" t="str">
        <f>IF(AB71 = "INC",
 "INC",
 IF(
  AB71 = "-",
  "-",
  VLOOKUP(AB71,'Grade Config'!$C$6:$D$37,2)
 )
)</f>
        <v>-</v>
      </c>
      <c r="AG71" s="237"/>
      <c r="AH71" s="238"/>
      <c r="AI71" s="238"/>
      <c r="AJ71" s="239"/>
      <c r="AK71" s="14"/>
    </row>
    <row r="72" spans="2:37" ht="14.4" customHeight="1" thickTop="1">
      <c r="B72" s="258" t="s">
        <v>18</v>
      </c>
      <c r="C72" s="259"/>
      <c r="D72" s="259"/>
      <c r="E72" s="260"/>
      <c r="F72" s="313"/>
      <c r="G72" s="321"/>
      <c r="H72" s="267"/>
      <c r="I72" s="270"/>
      <c r="J72" s="267"/>
      <c r="K72" s="270"/>
      <c r="L72" s="267"/>
      <c r="M72" s="270"/>
      <c r="N72" s="267"/>
      <c r="O72" s="270"/>
      <c r="P72" s="267"/>
      <c r="Q72" s="270"/>
      <c r="R72" s="267"/>
      <c r="S72" s="270"/>
      <c r="T72" s="267"/>
      <c r="U72" s="270"/>
      <c r="V72" s="267"/>
      <c r="W72" s="270"/>
      <c r="X72" s="267"/>
      <c r="Y72" s="270"/>
      <c r="Z72" s="282"/>
      <c r="AA72" s="314"/>
      <c r="AB72" s="273"/>
      <c r="AC72" s="315"/>
      <c r="AD72" s="276"/>
      <c r="AE72" s="316"/>
      <c r="AF72" s="279"/>
      <c r="AG72" s="225"/>
      <c r="AH72" s="226"/>
      <c r="AI72" s="226"/>
      <c r="AJ72" s="227"/>
      <c r="AK72" s="14"/>
    </row>
    <row r="73" spans="2:37" ht="14.4" customHeight="1">
      <c r="B73" s="261"/>
      <c r="C73" s="262"/>
      <c r="D73" s="262"/>
      <c r="E73" s="263"/>
      <c r="F73" s="313"/>
      <c r="G73" s="322"/>
      <c r="H73" s="268"/>
      <c r="I73" s="271"/>
      <c r="J73" s="268"/>
      <c r="K73" s="271"/>
      <c r="L73" s="268"/>
      <c r="M73" s="271"/>
      <c r="N73" s="268"/>
      <c r="O73" s="271"/>
      <c r="P73" s="268"/>
      <c r="Q73" s="271"/>
      <c r="R73" s="268"/>
      <c r="S73" s="271"/>
      <c r="T73" s="268"/>
      <c r="U73" s="271"/>
      <c r="V73" s="268"/>
      <c r="W73" s="271"/>
      <c r="X73" s="268"/>
      <c r="Y73" s="271"/>
      <c r="Z73" s="283"/>
      <c r="AA73" s="314"/>
      <c r="AB73" s="274"/>
      <c r="AC73" s="315"/>
      <c r="AD73" s="277"/>
      <c r="AE73" s="316"/>
      <c r="AF73" s="280"/>
      <c r="AG73" s="228"/>
      <c r="AH73" s="229"/>
      <c r="AI73" s="229"/>
      <c r="AJ73" s="230"/>
      <c r="AK73" s="14"/>
    </row>
    <row r="74" spans="2:37" ht="14.4" customHeight="1">
      <c r="B74" s="261"/>
      <c r="C74" s="262"/>
      <c r="D74" s="262"/>
      <c r="E74" s="263"/>
      <c r="F74" s="313"/>
      <c r="G74" s="322"/>
      <c r="H74" s="268"/>
      <c r="I74" s="271"/>
      <c r="J74" s="268"/>
      <c r="K74" s="271"/>
      <c r="L74" s="268"/>
      <c r="M74" s="271"/>
      <c r="N74" s="268"/>
      <c r="O74" s="271"/>
      <c r="P74" s="268"/>
      <c r="Q74" s="271"/>
      <c r="R74" s="268"/>
      <c r="S74" s="271"/>
      <c r="T74" s="268"/>
      <c r="U74" s="271"/>
      <c r="V74" s="268"/>
      <c r="W74" s="271"/>
      <c r="X74" s="268"/>
      <c r="Y74" s="271"/>
      <c r="Z74" s="283"/>
      <c r="AA74" s="314"/>
      <c r="AB74" s="274"/>
      <c r="AC74" s="315"/>
      <c r="AD74" s="277"/>
      <c r="AE74" s="316"/>
      <c r="AF74" s="280"/>
      <c r="AG74" s="228"/>
      <c r="AH74" s="229"/>
      <c r="AI74" s="229"/>
      <c r="AJ74" s="230"/>
      <c r="AK74" s="14"/>
    </row>
    <row r="75" spans="2:37" ht="14.4" customHeight="1">
      <c r="B75" s="261"/>
      <c r="C75" s="262"/>
      <c r="D75" s="262"/>
      <c r="E75" s="263"/>
      <c r="F75" s="313"/>
      <c r="G75" s="322"/>
      <c r="H75" s="268"/>
      <c r="I75" s="271"/>
      <c r="J75" s="268"/>
      <c r="K75" s="271"/>
      <c r="L75" s="268"/>
      <c r="M75" s="271"/>
      <c r="N75" s="268"/>
      <c r="O75" s="271"/>
      <c r="P75" s="268"/>
      <c r="Q75" s="271"/>
      <c r="R75" s="268"/>
      <c r="S75" s="271"/>
      <c r="T75" s="268"/>
      <c r="U75" s="271"/>
      <c r="V75" s="268"/>
      <c r="W75" s="271"/>
      <c r="X75" s="268"/>
      <c r="Y75" s="271"/>
      <c r="Z75" s="283"/>
      <c r="AA75" s="314"/>
      <c r="AB75" s="274"/>
      <c r="AC75" s="315"/>
      <c r="AD75" s="277"/>
      <c r="AE75" s="316"/>
      <c r="AF75" s="280"/>
      <c r="AG75" s="228"/>
      <c r="AH75" s="229"/>
      <c r="AI75" s="229"/>
      <c r="AJ75" s="230"/>
      <c r="AK75" s="14"/>
    </row>
    <row r="76" spans="2:37" ht="14.4" customHeight="1">
      <c r="B76" s="261"/>
      <c r="C76" s="262"/>
      <c r="D76" s="262"/>
      <c r="E76" s="263"/>
      <c r="F76" s="313"/>
      <c r="G76" s="322"/>
      <c r="H76" s="268"/>
      <c r="I76" s="271"/>
      <c r="J76" s="268"/>
      <c r="K76" s="271"/>
      <c r="L76" s="268"/>
      <c r="M76" s="271"/>
      <c r="N76" s="268"/>
      <c r="O76" s="271"/>
      <c r="P76" s="268"/>
      <c r="Q76" s="271"/>
      <c r="R76" s="268"/>
      <c r="S76" s="271"/>
      <c r="T76" s="268"/>
      <c r="U76" s="271"/>
      <c r="V76" s="268"/>
      <c r="W76" s="271"/>
      <c r="X76" s="268"/>
      <c r="Y76" s="271"/>
      <c r="Z76" s="283"/>
      <c r="AA76" s="314"/>
      <c r="AB76" s="274"/>
      <c r="AC76" s="315"/>
      <c r="AD76" s="277"/>
      <c r="AE76" s="316"/>
      <c r="AF76" s="280"/>
      <c r="AG76" s="228"/>
      <c r="AH76" s="229"/>
      <c r="AI76" s="229"/>
      <c r="AJ76" s="230"/>
      <c r="AK76" s="14"/>
    </row>
    <row r="77" spans="2:37" ht="14.4" customHeight="1" thickBot="1">
      <c r="B77" s="264"/>
      <c r="C77" s="265"/>
      <c r="D77" s="265"/>
      <c r="E77" s="266"/>
      <c r="F77" s="313"/>
      <c r="G77" s="323"/>
      <c r="H77" s="269"/>
      <c r="I77" s="272"/>
      <c r="J77" s="269"/>
      <c r="K77" s="272"/>
      <c r="L77" s="269"/>
      <c r="M77" s="272"/>
      <c r="N77" s="269"/>
      <c r="O77" s="272"/>
      <c r="P77" s="269"/>
      <c r="Q77" s="272"/>
      <c r="R77" s="269"/>
      <c r="S77" s="272"/>
      <c r="T77" s="269"/>
      <c r="U77" s="272"/>
      <c r="V77" s="269"/>
      <c r="W77" s="272"/>
      <c r="X77" s="269"/>
      <c r="Y77" s="272"/>
      <c r="Z77" s="284"/>
      <c r="AA77" s="314"/>
      <c r="AB77" s="275"/>
      <c r="AC77" s="315"/>
      <c r="AD77" s="278"/>
      <c r="AE77" s="316"/>
      <c r="AF77" s="281"/>
      <c r="AG77" s="231"/>
      <c r="AH77" s="232"/>
      <c r="AI77" s="232"/>
      <c r="AJ77" s="233"/>
      <c r="AK77" s="14"/>
    </row>
    <row r="78" spans="2:37" ht="14.4" customHeight="1" thickTop="1">
      <c r="B78" s="194" t="s">
        <v>92</v>
      </c>
      <c r="C78" s="194"/>
      <c r="D78" s="194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4"/>
    </row>
    <row r="79" spans="2:37" ht="14.4" customHeight="1">
      <c r="B79" s="14"/>
      <c r="C79" s="29" t="s">
        <v>19</v>
      </c>
      <c r="D79" s="29"/>
      <c r="E79" s="29"/>
      <c r="F79" s="22"/>
      <c r="H79" s="22"/>
      <c r="J79" s="22"/>
      <c r="K79" s="10"/>
      <c r="L79" s="10"/>
      <c r="M79" s="257" t="s">
        <v>20</v>
      </c>
      <c r="N79" s="257"/>
      <c r="O79" s="257"/>
      <c r="P79" s="257"/>
      <c r="R79" s="31"/>
      <c r="S79" s="32"/>
      <c r="T79" s="32"/>
      <c r="U79" s="14"/>
      <c r="V79" s="14"/>
      <c r="W79" s="14"/>
      <c r="X79" s="14"/>
      <c r="Y79" s="14"/>
      <c r="Z79" s="14"/>
      <c r="AA79" s="14"/>
      <c r="AB79" s="14"/>
      <c r="AC79" s="14"/>
      <c r="AD79" s="14"/>
    </row>
    <row r="80" spans="2:37" ht="14.4" customHeight="1">
      <c r="B80" s="14"/>
      <c r="C80" s="29"/>
      <c r="D80" s="29"/>
      <c r="E80" s="29"/>
      <c r="F80" s="22"/>
      <c r="H80" s="22"/>
      <c r="J80" s="22"/>
      <c r="K80" s="10"/>
      <c r="L80" s="10"/>
      <c r="M80" s="30"/>
      <c r="N80" s="30"/>
      <c r="O80" s="30"/>
      <c r="P80" s="30"/>
      <c r="R80" s="31"/>
      <c r="S80" s="32"/>
      <c r="T80" s="32"/>
      <c r="U80" s="14"/>
      <c r="V80" s="14"/>
      <c r="W80" s="14"/>
      <c r="X80" s="14"/>
      <c r="Y80" s="14"/>
      <c r="Z80" s="14"/>
      <c r="AA80" s="14"/>
      <c r="AB80" s="14"/>
      <c r="AC80" s="14"/>
      <c r="AD80" s="14"/>
    </row>
    <row r="81" spans="2:30" ht="14.4" customHeight="1">
      <c r="B81" s="14"/>
      <c r="C81"/>
      <c r="D81"/>
      <c r="E81"/>
      <c r="F81" s="22"/>
      <c r="H81" s="22"/>
      <c r="J81" s="22"/>
      <c r="K81" s="10"/>
      <c r="L81" s="10"/>
      <c r="N81" s="22"/>
      <c r="P81" s="22"/>
      <c r="R81" s="31"/>
      <c r="S81" s="32"/>
      <c r="T81" s="32"/>
      <c r="U81" s="14"/>
      <c r="V81" s="14"/>
      <c r="W81" s="14"/>
      <c r="X81" s="14"/>
      <c r="Y81" s="14"/>
      <c r="Z81" s="14"/>
      <c r="AA81" s="14"/>
      <c r="AB81" s="14"/>
      <c r="AC81" s="14"/>
      <c r="AD81" s="14"/>
    </row>
    <row r="82" spans="2:30" ht="14.4" customHeight="1">
      <c r="B82" s="14"/>
      <c r="C82" s="256" t="s">
        <v>76</v>
      </c>
      <c r="D82" s="256"/>
      <c r="E82" s="256"/>
      <c r="F82" s="22"/>
      <c r="G82" s="14"/>
      <c r="H82" s="22"/>
      <c r="J82" s="22"/>
      <c r="K82" s="10"/>
      <c r="L82" s="10"/>
      <c r="M82" s="256" t="s">
        <v>77</v>
      </c>
      <c r="N82" s="256"/>
      <c r="O82" s="256"/>
      <c r="P82" s="256"/>
      <c r="Q82" s="256"/>
      <c r="R82" s="256"/>
      <c r="S82" s="32"/>
      <c r="T82" s="32"/>
      <c r="U82" s="14"/>
      <c r="V82" s="14"/>
      <c r="W82" s="14"/>
      <c r="X82" s="14"/>
      <c r="Y82" s="14"/>
      <c r="Z82" s="14"/>
      <c r="AA82" s="14"/>
      <c r="AB82" s="14"/>
      <c r="AC82" s="14"/>
      <c r="AD82" s="14"/>
    </row>
    <row r="83" spans="2:30" ht="3" customHeight="1" thickBot="1">
      <c r="B83" s="14"/>
      <c r="C83"/>
      <c r="D83"/>
      <c r="E83"/>
      <c r="F83" s="22"/>
      <c r="G83" s="14"/>
      <c r="H83" s="22"/>
      <c r="J83" s="22"/>
      <c r="K83" s="10"/>
      <c r="L83" s="10"/>
      <c r="M83" s="21"/>
      <c r="N83" s="21"/>
      <c r="O83" s="21"/>
      <c r="P83" s="21"/>
      <c r="Q83" s="21"/>
      <c r="R83" s="21"/>
      <c r="S83" s="32"/>
      <c r="T83" s="32"/>
      <c r="U83" s="14"/>
      <c r="V83" s="14"/>
      <c r="W83" s="14"/>
      <c r="X83" s="14"/>
      <c r="Y83" s="14"/>
      <c r="Z83" s="14"/>
      <c r="AA83" s="14"/>
      <c r="AB83" s="14"/>
      <c r="AC83" s="14"/>
      <c r="AD83" s="14"/>
    </row>
    <row r="84" spans="2:30" ht="14.4" customHeight="1">
      <c r="B84" s="14"/>
      <c r="C84" s="255" t="s">
        <v>21</v>
      </c>
      <c r="D84" s="255"/>
      <c r="E84" s="255"/>
      <c r="F84" s="22"/>
      <c r="G84" s="14"/>
      <c r="H84" s="22"/>
      <c r="J84" s="22"/>
      <c r="K84" s="10"/>
      <c r="L84" s="10"/>
      <c r="M84" s="255" t="s">
        <v>22</v>
      </c>
      <c r="N84" s="255"/>
      <c r="O84" s="255"/>
      <c r="P84" s="255"/>
      <c r="Q84" s="255"/>
      <c r="R84" s="255"/>
      <c r="S84" s="32"/>
      <c r="T84" s="32"/>
      <c r="U84" s="14"/>
      <c r="V84" s="14"/>
      <c r="W84" s="14"/>
      <c r="X84" s="14"/>
      <c r="Y84" s="14"/>
      <c r="Z84" s="14"/>
      <c r="AA84" s="14"/>
      <c r="AB84" s="14"/>
      <c r="AC84" s="14"/>
      <c r="AD84" s="14"/>
    </row>
    <row r="85" spans="2:30" ht="14.4" customHeight="1">
      <c r="B85" s="14"/>
      <c r="C85" s="70"/>
      <c r="D85" s="70"/>
      <c r="E85" s="70"/>
      <c r="F85" s="22"/>
      <c r="G85" s="14"/>
      <c r="H85" s="22"/>
      <c r="J85" s="22"/>
      <c r="K85" s="10"/>
      <c r="L85" s="10"/>
      <c r="M85" s="70"/>
      <c r="N85" s="70"/>
      <c r="O85" s="70"/>
      <c r="P85" s="70"/>
      <c r="Q85" s="70"/>
      <c r="R85" s="70"/>
      <c r="S85" s="32"/>
      <c r="T85" s="32"/>
      <c r="U85" s="14"/>
      <c r="V85" s="14"/>
      <c r="W85" s="14"/>
      <c r="X85" s="14"/>
      <c r="Y85" s="14"/>
      <c r="Z85" s="14"/>
      <c r="AA85" s="14"/>
      <c r="AB85" s="14"/>
      <c r="AC85" s="14"/>
      <c r="AD85" s="14"/>
    </row>
    <row r="86" spans="2:30" ht="14.4" customHeight="1">
      <c r="B86" s="14"/>
      <c r="C86"/>
      <c r="D86"/>
      <c r="E86"/>
      <c r="F86" s="22"/>
      <c r="G86" s="14"/>
      <c r="H86" s="22"/>
      <c r="J86" s="22"/>
      <c r="K86" s="10"/>
      <c r="L86" s="10"/>
      <c r="N86" s="22"/>
      <c r="P86" s="22"/>
      <c r="R86" s="31"/>
      <c r="S86" s="32"/>
      <c r="T86" s="32"/>
      <c r="U86" s="14"/>
      <c r="V86" s="14"/>
      <c r="W86" s="14"/>
      <c r="X86" s="14"/>
      <c r="Y86" s="14"/>
      <c r="Z86" s="14"/>
      <c r="AA86" s="14"/>
      <c r="AB86" s="14"/>
      <c r="AC86" s="14"/>
      <c r="AD86" s="14"/>
    </row>
    <row r="87" spans="2:30" ht="14.4" customHeight="1">
      <c r="B87" s="14"/>
      <c r="C87"/>
      <c r="D87"/>
      <c r="E87"/>
      <c r="F87" s="22"/>
      <c r="G87" s="14"/>
      <c r="H87" s="22"/>
      <c r="J87" s="22"/>
      <c r="K87" s="10"/>
      <c r="L87" s="10"/>
      <c r="M87" s="256" t="s">
        <v>78</v>
      </c>
      <c r="N87" s="256"/>
      <c r="O87" s="256"/>
      <c r="P87" s="256"/>
      <c r="Q87" s="256"/>
      <c r="R87" s="256"/>
      <c r="S87" s="32"/>
      <c r="T87" s="32"/>
      <c r="U87" s="14"/>
      <c r="V87" s="14"/>
      <c r="W87" s="14"/>
      <c r="X87" s="14"/>
      <c r="Y87" s="14"/>
      <c r="Z87" s="14"/>
      <c r="AA87" s="14"/>
      <c r="AB87" s="14"/>
      <c r="AC87" s="14"/>
      <c r="AD87" s="14"/>
    </row>
    <row r="88" spans="2:30" ht="3" customHeight="1" thickBot="1">
      <c r="B88" s="14"/>
      <c r="C88"/>
      <c r="D88"/>
      <c r="E88"/>
      <c r="F88" s="22"/>
      <c r="G88" s="14"/>
      <c r="H88" s="22"/>
      <c r="J88" s="22"/>
      <c r="K88" s="10"/>
      <c r="L88" s="10"/>
      <c r="M88" s="21"/>
      <c r="N88" s="21"/>
      <c r="O88" s="21"/>
      <c r="P88" s="21"/>
      <c r="Q88" s="21"/>
      <c r="R88" s="21"/>
      <c r="S88" s="32"/>
      <c r="T88" s="32"/>
      <c r="U88" s="14"/>
      <c r="V88" s="14"/>
      <c r="W88" s="14"/>
      <c r="X88" s="14"/>
      <c r="Y88" s="14"/>
      <c r="Z88" s="14"/>
      <c r="AA88" s="14"/>
      <c r="AB88" s="14"/>
      <c r="AC88" s="14"/>
      <c r="AD88" s="14"/>
    </row>
    <row r="89" spans="2:30" ht="14.4" customHeight="1">
      <c r="B89" s="14"/>
      <c r="C89"/>
      <c r="D89"/>
      <c r="E89"/>
      <c r="F89" s="22"/>
      <c r="G89" s="14"/>
      <c r="H89" s="22"/>
      <c r="J89" s="22"/>
      <c r="K89" s="10"/>
      <c r="L89" s="10"/>
      <c r="M89" s="255" t="s">
        <v>23</v>
      </c>
      <c r="N89" s="255"/>
      <c r="O89" s="255"/>
      <c r="P89" s="255"/>
      <c r="Q89" s="255"/>
      <c r="R89" s="255"/>
      <c r="S89" s="32"/>
      <c r="T89" s="32"/>
      <c r="U89" s="14"/>
      <c r="V89" s="14"/>
      <c r="W89" s="14"/>
      <c r="X89" s="14"/>
      <c r="Y89" s="14"/>
      <c r="Z89" s="14"/>
      <c r="AA89" s="14"/>
      <c r="AB89" s="14"/>
      <c r="AC89" s="14"/>
      <c r="AD89" s="14"/>
    </row>
  </sheetData>
  <sheetProtection algorithmName="SHA-512" hashValue="v4ELYDzFTLGjUhSi8/F3inPTMAcIZFQMaomzC5w75cynL2PgIEDts/TiblPCxE+pf9IPGFMPKIs1DthazV+CwA==" saltValue="hH4te1KJ56y8AMnqOEjm4Q==" spinCount="100000" sheet="1" objects="1" scenarios="1"/>
  <protectedRanges>
    <protectedRange sqref="E12:F12" name="RangeChkbox_HideShowBottomRemarks"/>
    <protectedRange sqref="E11:F11" name="RangeChkBox_HideShowNoData"/>
    <protectedRange sqref="G72:Z77 AB72 AD72 AF72:AJ77 AG16:AJ71" name="RangeRemarks"/>
    <protectedRange sqref="Y16:Y77" name="RangeO10"/>
    <protectedRange sqref="W16:W77" name="RangeO9"/>
    <protectedRange sqref="U16:U77" name="RangeO8"/>
    <protectedRange sqref="S16:S77" name="RangeO7"/>
    <protectedRange sqref="Q16:Q77" name="RangeO6"/>
    <protectedRange sqref="O16:O77" name="RangeO5"/>
    <protectedRange sqref="M16:M77" name="RangeO4"/>
    <protectedRange sqref="AB4:AJ7" name="RangeSubjInfo"/>
    <protectedRange sqref="J4:O7" name="RangeFacultyInfo"/>
    <protectedRange sqref="G16:G77" name="RangeO1"/>
    <protectedRange sqref="I16:I77" name="RangeO2"/>
    <protectedRange sqref="K16:K77" name="RangeO3"/>
    <protectedRange sqref="E10:F10" name="RangeChkBox_BalanceWeight"/>
    <protectedRange sqref="C82" name="RangeSubmittedBy"/>
    <protectedRange sqref="M82" name="RangeNotedByChair"/>
    <protectedRange sqref="M87" name="RangeNotedByDean"/>
  </protectedRanges>
  <mergeCells count="148">
    <mergeCell ref="P4:X6"/>
    <mergeCell ref="P7:X7"/>
    <mergeCell ref="F72:F77"/>
    <mergeCell ref="AA72:AA77"/>
    <mergeCell ref="AC72:AC77"/>
    <mergeCell ref="AE72:AE77"/>
    <mergeCell ref="E14:E15"/>
    <mergeCell ref="D14:D15"/>
    <mergeCell ref="C14:C15"/>
    <mergeCell ref="G72:G77"/>
    <mergeCell ref="G9:Z9"/>
    <mergeCell ref="H10:H15"/>
    <mergeCell ref="AB9:AB15"/>
    <mergeCell ref="P72:P77"/>
    <mergeCell ref="O72:O77"/>
    <mergeCell ref="N72:N77"/>
    <mergeCell ref="M72:M77"/>
    <mergeCell ref="L72:L77"/>
    <mergeCell ref="K72:K77"/>
    <mergeCell ref="J72:J77"/>
    <mergeCell ref="I72:I77"/>
    <mergeCell ref="H72:H77"/>
    <mergeCell ref="B9:D9"/>
    <mergeCell ref="B10:D10"/>
    <mergeCell ref="B14:B15"/>
    <mergeCell ref="B11:D11"/>
    <mergeCell ref="B12:D12"/>
    <mergeCell ref="AF9:AF15"/>
    <mergeCell ref="S11:S14"/>
    <mergeCell ref="U11:U14"/>
    <mergeCell ref="W11:W14"/>
    <mergeCell ref="Z10:Z15"/>
    <mergeCell ref="J10:J15"/>
    <mergeCell ref="G11:G14"/>
    <mergeCell ref="I11:I14"/>
    <mergeCell ref="O11:O14"/>
    <mergeCell ref="M11:M14"/>
    <mergeCell ref="K11:K14"/>
    <mergeCell ref="Y11:Y14"/>
    <mergeCell ref="L10:L15"/>
    <mergeCell ref="N10:N15"/>
    <mergeCell ref="P10:P15"/>
    <mergeCell ref="R10:R15"/>
    <mergeCell ref="T10:T15"/>
    <mergeCell ref="V10:V15"/>
    <mergeCell ref="X10:X15"/>
    <mergeCell ref="Q11:Q14"/>
    <mergeCell ref="AD9:AD15"/>
    <mergeCell ref="AG24:AJ24"/>
    <mergeCell ref="M89:R89"/>
    <mergeCell ref="C82:E82"/>
    <mergeCell ref="C84:E84"/>
    <mergeCell ref="M79:P79"/>
    <mergeCell ref="M82:R82"/>
    <mergeCell ref="M84:R84"/>
    <mergeCell ref="M87:R87"/>
    <mergeCell ref="B72:E77"/>
    <mergeCell ref="X72:X77"/>
    <mergeCell ref="W72:W77"/>
    <mergeCell ref="V72:V77"/>
    <mergeCell ref="U72:U77"/>
    <mergeCell ref="T72:T77"/>
    <mergeCell ref="S72:S77"/>
    <mergeCell ref="AB72:AB77"/>
    <mergeCell ref="AD72:AD77"/>
    <mergeCell ref="AF72:AF77"/>
    <mergeCell ref="R72:R77"/>
    <mergeCell ref="Y72:Y77"/>
    <mergeCell ref="Z72:Z77"/>
    <mergeCell ref="Q72:Q77"/>
    <mergeCell ref="AG9:AJ15"/>
    <mergeCell ref="AG16:AJ16"/>
    <mergeCell ref="AG44:AJ44"/>
    <mergeCell ref="AG25:AJ25"/>
    <mergeCell ref="AG26:AJ26"/>
    <mergeCell ref="AG27:AJ27"/>
    <mergeCell ref="AG28:AJ28"/>
    <mergeCell ref="AG29:AJ29"/>
    <mergeCell ref="AG30:AJ30"/>
    <mergeCell ref="AG31:AJ31"/>
    <mergeCell ref="AG32:AJ32"/>
    <mergeCell ref="AG33:AJ33"/>
    <mergeCell ref="AG34:AJ34"/>
    <mergeCell ref="AG35:AJ35"/>
    <mergeCell ref="AG36:AJ36"/>
    <mergeCell ref="AG37:AJ37"/>
    <mergeCell ref="AG38:AJ38"/>
    <mergeCell ref="AG17:AJ17"/>
    <mergeCell ref="AG18:AJ18"/>
    <mergeCell ref="AG19:AJ19"/>
    <mergeCell ref="AG20:AJ20"/>
    <mergeCell ref="AG21:AJ21"/>
    <mergeCell ref="AG22:AJ22"/>
    <mergeCell ref="AG23:AJ23"/>
    <mergeCell ref="AG45:AJ45"/>
    <mergeCell ref="AG46:AJ46"/>
    <mergeCell ref="AG47:AJ47"/>
    <mergeCell ref="AG48:AJ48"/>
    <mergeCell ref="AG49:AJ49"/>
    <mergeCell ref="AG39:AJ39"/>
    <mergeCell ref="AG40:AJ40"/>
    <mergeCell ref="AG41:AJ41"/>
    <mergeCell ref="AG42:AJ42"/>
    <mergeCell ref="AG43:AJ43"/>
    <mergeCell ref="AG65:AJ65"/>
    <mergeCell ref="AG66:AJ66"/>
    <mergeCell ref="AG67:AJ67"/>
    <mergeCell ref="AG68:AJ68"/>
    <mergeCell ref="AG69:AJ69"/>
    <mergeCell ref="AG50:AJ50"/>
    <mergeCell ref="AG51:AJ51"/>
    <mergeCell ref="AG52:AJ52"/>
    <mergeCell ref="AG53:AJ53"/>
    <mergeCell ref="AG54:AJ54"/>
    <mergeCell ref="AG59:AJ59"/>
    <mergeCell ref="AG60:AJ60"/>
    <mergeCell ref="AG61:AJ61"/>
    <mergeCell ref="AG62:AJ62"/>
    <mergeCell ref="AG63:AJ63"/>
    <mergeCell ref="AG64:AJ64"/>
    <mergeCell ref="AG55:AJ55"/>
    <mergeCell ref="AG56:AJ56"/>
    <mergeCell ref="AG57:AJ57"/>
    <mergeCell ref="AG58:AJ58"/>
    <mergeCell ref="J7:O7"/>
    <mergeCell ref="B1:AJ1"/>
    <mergeCell ref="B78:AJ78"/>
    <mergeCell ref="B2:F7"/>
    <mergeCell ref="G2:AJ2"/>
    <mergeCell ref="G3:AJ3"/>
    <mergeCell ref="AB4:AJ4"/>
    <mergeCell ref="AB5:AJ5"/>
    <mergeCell ref="AB6:AJ6"/>
    <mergeCell ref="AB7:AJ7"/>
    <mergeCell ref="Y4:AA4"/>
    <mergeCell ref="Y5:AA5"/>
    <mergeCell ref="Y6:AA6"/>
    <mergeCell ref="Y7:AA7"/>
    <mergeCell ref="G4:I4"/>
    <mergeCell ref="G5:I5"/>
    <mergeCell ref="G6:I6"/>
    <mergeCell ref="G7:I7"/>
    <mergeCell ref="J4:O4"/>
    <mergeCell ref="J5:O5"/>
    <mergeCell ref="J6:O6"/>
    <mergeCell ref="AG72:AJ77"/>
    <mergeCell ref="AG70:AJ70"/>
    <mergeCell ref="AG71:AJ71"/>
  </mergeCells>
  <conditionalFormatting sqref="G15 I15 K15 M15 O15 Q15 S15 U15 W15 Y15">
    <cfRule type="expression" dxfId="2" priority="1">
      <formula>SUM($G$15,$I$15,$K$15,$M$15,$O$15,$Q$15,$S$15,$U$15,$W$15,$Y$15) &lt;&gt; 1</formula>
    </cfRule>
  </conditionalFormatting>
  <pageMargins left="0.7" right="0.7" top="0.75" bottom="0.75" header="0.3" footer="0.3"/>
  <pageSetup scale="4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161" r:id="rId4" name="CheckBox3">
          <controlPr locked="0" defaultSize="0" autoLine="0" linkedCell="F12" r:id="rId5">
            <anchor moveWithCells="1">
              <from>
                <xdr:col>4</xdr:col>
                <xdr:colOff>342900</xdr:colOff>
                <xdr:row>11</xdr:row>
                <xdr:rowOff>15240</xdr:rowOff>
              </from>
              <to>
                <xdr:col>4</xdr:col>
                <xdr:colOff>502920</xdr:colOff>
                <xdr:row>11</xdr:row>
                <xdr:rowOff>167640</xdr:rowOff>
              </to>
            </anchor>
          </controlPr>
        </control>
      </mc:Choice>
      <mc:Fallback>
        <control shapeId="4161" r:id="rId4" name="CheckBox3"/>
      </mc:Fallback>
    </mc:AlternateContent>
    <mc:AlternateContent xmlns:mc="http://schemas.openxmlformats.org/markup-compatibility/2006">
      <mc:Choice Requires="x14">
        <control shapeId="4160" r:id="rId6" name="CheckBox2">
          <controlPr locked="0" defaultSize="0" autoLine="0" linkedCell="F11" r:id="rId5">
            <anchor moveWithCells="1">
              <from>
                <xdr:col>4</xdr:col>
                <xdr:colOff>342900</xdr:colOff>
                <xdr:row>10</xdr:row>
                <xdr:rowOff>22860</xdr:rowOff>
              </from>
              <to>
                <xdr:col>4</xdr:col>
                <xdr:colOff>502920</xdr:colOff>
                <xdr:row>10</xdr:row>
                <xdr:rowOff>175260</xdr:rowOff>
              </to>
            </anchor>
          </controlPr>
        </control>
      </mc:Choice>
      <mc:Fallback>
        <control shapeId="4160" r:id="rId6" name="CheckBox2"/>
      </mc:Fallback>
    </mc:AlternateContent>
    <mc:AlternateContent xmlns:mc="http://schemas.openxmlformats.org/markup-compatibility/2006">
      <mc:Choice Requires="x14">
        <control shapeId="4153" r:id="rId7" name="CheckBox1">
          <controlPr locked="0" defaultSize="0" autoLine="0" linkedCell="F10" r:id="rId5">
            <anchor moveWithCells="1">
              <from>
                <xdr:col>4</xdr:col>
                <xdr:colOff>342900</xdr:colOff>
                <xdr:row>9</xdr:row>
                <xdr:rowOff>7620</xdr:rowOff>
              </from>
              <to>
                <xdr:col>4</xdr:col>
                <xdr:colOff>502920</xdr:colOff>
                <xdr:row>9</xdr:row>
                <xdr:rowOff>160020</xdr:rowOff>
              </to>
            </anchor>
          </controlPr>
        </control>
      </mc:Choice>
      <mc:Fallback>
        <control shapeId="4153" r:id="rId7" name="CheckBox1"/>
      </mc:Fallback>
    </mc:AlternateContent>
    <mc:AlternateContent xmlns:mc="http://schemas.openxmlformats.org/markup-compatibility/2006">
      <mc:Choice Requires="x14">
        <control shapeId="4155" r:id="rId8" name="Button 59">
          <controlPr defaultSize="0" print="0" autoFill="0" autoPict="0" macro="[0]!ExportSheetToPDF">
            <anchor moveWithCells="1">
              <from>
                <xdr:col>6</xdr:col>
                <xdr:colOff>91440</xdr:colOff>
                <xdr:row>8</xdr:row>
                <xdr:rowOff>30480</xdr:rowOff>
              </from>
              <to>
                <xdr:col>9</xdr:col>
                <xdr:colOff>144780</xdr:colOff>
                <xdr:row>8</xdr:row>
                <xdr:rowOff>213360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32160-B22B-4679-9892-DAD31B81EF23}">
  <sheetPr codeName="Sheet8">
    <tabColor rgb="FFFFFF55"/>
    <pageSetUpPr fitToPage="1"/>
  </sheetPr>
  <dimension ref="B1:AK89"/>
  <sheetViews>
    <sheetView zoomScaleNormal="100" workbookViewId="0">
      <pane xSplit="6" ySplit="16" topLeftCell="G17" activePane="bottomRight" state="frozen"/>
      <selection pane="topRight" activeCell="G1" sqref="G1"/>
      <selection pane="bottomLeft" activeCell="A11" sqref="A11"/>
      <selection pane="bottomRight" activeCell="L38" sqref="L38"/>
    </sheetView>
  </sheetViews>
  <sheetFormatPr defaultColWidth="9.109375" defaultRowHeight="13.8"/>
  <cols>
    <col min="1" max="1" width="2.77734375" style="22" customWidth="1"/>
    <col min="2" max="2" width="3" style="22" bestFit="1" customWidth="1"/>
    <col min="3" max="3" width="14" style="22" customWidth="1"/>
    <col min="4" max="4" width="15.5546875" style="22" customWidth="1"/>
    <col min="5" max="5" width="11.88671875" style="22" bestFit="1" customWidth="1"/>
    <col min="6" max="6" width="0.5546875" style="23" customWidth="1"/>
    <col min="7" max="7" width="6.109375" style="22" customWidth="1"/>
    <col min="8" max="8" width="5.88671875" style="24" customWidth="1"/>
    <col min="9" max="9" width="6.109375" style="22" customWidth="1"/>
    <col min="10" max="10" width="5.88671875" style="24" customWidth="1"/>
    <col min="11" max="11" width="6.109375" style="22" customWidth="1"/>
    <col min="12" max="12" width="5.88671875" style="24" customWidth="1"/>
    <col min="13" max="13" width="6.109375" style="22" customWidth="1"/>
    <col min="14" max="14" width="5.88671875" style="24" customWidth="1"/>
    <col min="15" max="15" width="6.109375" style="22" customWidth="1"/>
    <col min="16" max="16" width="5.88671875" style="24" customWidth="1"/>
    <col min="17" max="17" width="6.109375" style="22" customWidth="1"/>
    <col min="18" max="18" width="5.88671875" style="24" customWidth="1"/>
    <col min="19" max="19" width="6.109375" style="22" customWidth="1"/>
    <col min="20" max="20" width="5.88671875" style="24" customWidth="1"/>
    <col min="21" max="21" width="6.109375" style="22" customWidth="1"/>
    <col min="22" max="22" width="5.88671875" style="24" customWidth="1"/>
    <col min="23" max="23" width="6.109375" style="22" customWidth="1"/>
    <col min="24" max="24" width="5.88671875" style="24" customWidth="1"/>
    <col min="25" max="25" width="6.109375" style="22" customWidth="1"/>
    <col min="26" max="26" width="5.88671875" style="24" customWidth="1"/>
    <col min="27" max="27" width="0.5546875" style="24" customWidth="1"/>
    <col min="28" max="28" width="5" style="22" customWidth="1"/>
    <col min="29" max="29" width="0.5546875" style="22" customWidth="1"/>
    <col min="30" max="30" width="5" style="22" customWidth="1"/>
    <col min="31" max="31" width="0.5546875" style="22" customWidth="1"/>
    <col min="32" max="33" width="5.21875" style="22" customWidth="1"/>
    <col min="34" max="34" width="6.109375" style="22" customWidth="1"/>
    <col min="35" max="36" width="7.33203125" style="22" customWidth="1"/>
    <col min="37" max="16384" width="9.109375" style="22"/>
  </cols>
  <sheetData>
    <row r="1" spans="2:37" ht="14.4" thickBot="1">
      <c r="B1" s="193" t="s">
        <v>92</v>
      </c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</row>
    <row r="2" spans="2:37" ht="21" customHeight="1" thickTop="1">
      <c r="B2" s="195"/>
      <c r="C2" s="196"/>
      <c r="D2" s="196"/>
      <c r="E2" s="196"/>
      <c r="F2" s="197"/>
      <c r="G2" s="204" t="s">
        <v>66</v>
      </c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6"/>
    </row>
    <row r="3" spans="2:37" ht="21" customHeight="1" thickBot="1">
      <c r="B3" s="198"/>
      <c r="C3" s="199"/>
      <c r="D3" s="199"/>
      <c r="E3" s="199"/>
      <c r="F3" s="200"/>
      <c r="G3" s="207" t="s">
        <v>0</v>
      </c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9"/>
    </row>
    <row r="4" spans="2:37" ht="13.8" customHeight="1" thickTop="1">
      <c r="B4" s="198"/>
      <c r="C4" s="199"/>
      <c r="D4" s="199"/>
      <c r="E4" s="199"/>
      <c r="F4" s="200"/>
      <c r="G4" s="216" t="s">
        <v>1</v>
      </c>
      <c r="H4" s="217"/>
      <c r="I4" s="217"/>
      <c r="J4" s="222" t="str">
        <f>PRELIM!J4</f>
        <v>John A. Doe</v>
      </c>
      <c r="K4" s="223"/>
      <c r="L4" s="223"/>
      <c r="M4" s="223"/>
      <c r="N4" s="223"/>
      <c r="O4" s="224"/>
      <c r="P4" s="301" t="s">
        <v>70</v>
      </c>
      <c r="Q4" s="302"/>
      <c r="R4" s="302"/>
      <c r="S4" s="302"/>
      <c r="T4" s="302"/>
      <c r="U4" s="302"/>
      <c r="V4" s="302"/>
      <c r="W4" s="302"/>
      <c r="X4" s="303"/>
      <c r="Y4" s="216" t="s">
        <v>2</v>
      </c>
      <c r="Z4" s="217"/>
      <c r="AA4" s="217"/>
      <c r="AB4" s="210" t="str">
        <f>PRELIM!AB4</f>
        <v>TTh 3:00:00 PM - 4:30 PM</v>
      </c>
      <c r="AC4" s="211"/>
      <c r="AD4" s="211"/>
      <c r="AE4" s="211"/>
      <c r="AF4" s="211"/>
      <c r="AG4" s="211"/>
      <c r="AH4" s="211"/>
      <c r="AI4" s="211"/>
      <c r="AJ4" s="212"/>
    </row>
    <row r="5" spans="2:37" ht="13.8" customHeight="1">
      <c r="B5" s="198"/>
      <c r="C5" s="199"/>
      <c r="D5" s="199"/>
      <c r="E5" s="199"/>
      <c r="F5" s="200"/>
      <c r="G5" s="218" t="s">
        <v>3</v>
      </c>
      <c r="H5" s="219"/>
      <c r="I5" s="219"/>
      <c r="J5" s="213" t="str">
        <f>PRELIM!J5</f>
        <v>SAS</v>
      </c>
      <c r="K5" s="214"/>
      <c r="L5" s="214"/>
      <c r="M5" s="214"/>
      <c r="N5" s="214"/>
      <c r="O5" s="215"/>
      <c r="P5" s="304"/>
      <c r="Q5" s="305"/>
      <c r="R5" s="305"/>
      <c r="S5" s="305"/>
      <c r="T5" s="305"/>
      <c r="U5" s="305"/>
      <c r="V5" s="305"/>
      <c r="W5" s="305"/>
      <c r="X5" s="306"/>
      <c r="Y5" s="218" t="s">
        <v>79</v>
      </c>
      <c r="Z5" s="219"/>
      <c r="AA5" s="219"/>
      <c r="AB5" s="213">
        <f>PRELIM!AB5</f>
        <v>313</v>
      </c>
      <c r="AC5" s="214"/>
      <c r="AD5" s="214"/>
      <c r="AE5" s="214"/>
      <c r="AF5" s="214"/>
      <c r="AG5" s="214"/>
      <c r="AH5" s="214"/>
      <c r="AI5" s="214"/>
      <c r="AJ5" s="215"/>
    </row>
    <row r="6" spans="2:37" ht="13.8" customHeight="1">
      <c r="B6" s="198"/>
      <c r="C6" s="199"/>
      <c r="D6" s="199"/>
      <c r="E6" s="199"/>
      <c r="F6" s="200"/>
      <c r="G6" s="218" t="s">
        <v>4</v>
      </c>
      <c r="H6" s="219"/>
      <c r="I6" s="219"/>
      <c r="J6" s="213">
        <f>PRELIM!J6</f>
        <v>9999</v>
      </c>
      <c r="K6" s="214"/>
      <c r="L6" s="214"/>
      <c r="M6" s="214"/>
      <c r="N6" s="214"/>
      <c r="O6" s="215"/>
      <c r="P6" s="307"/>
      <c r="Q6" s="308"/>
      <c r="R6" s="308"/>
      <c r="S6" s="308"/>
      <c r="T6" s="308"/>
      <c r="U6" s="308"/>
      <c r="V6" s="308"/>
      <c r="W6" s="308"/>
      <c r="X6" s="309"/>
      <c r="Y6" s="218" t="s">
        <v>67</v>
      </c>
      <c r="Z6" s="219"/>
      <c r="AA6" s="219"/>
      <c r="AB6" s="213" t="str">
        <f>PRELIM!AB6</f>
        <v>2nd Semester SY. 2025- 2026</v>
      </c>
      <c r="AC6" s="214"/>
      <c r="AD6" s="214"/>
      <c r="AE6" s="214"/>
      <c r="AF6" s="214"/>
      <c r="AG6" s="214"/>
      <c r="AH6" s="214"/>
      <c r="AI6" s="214"/>
      <c r="AJ6" s="215"/>
      <c r="AK6" s="14"/>
    </row>
    <row r="7" spans="2:37" ht="13.8" customHeight="1" thickBot="1">
      <c r="B7" s="201"/>
      <c r="C7" s="202"/>
      <c r="D7" s="202"/>
      <c r="E7" s="202"/>
      <c r="F7" s="203"/>
      <c r="G7" s="220" t="s">
        <v>5</v>
      </c>
      <c r="H7" s="221"/>
      <c r="I7" s="221"/>
      <c r="J7" s="190" t="str">
        <f>PRELIM!J7</f>
        <v>Test Course Title</v>
      </c>
      <c r="K7" s="191"/>
      <c r="L7" s="191"/>
      <c r="M7" s="191"/>
      <c r="N7" s="191"/>
      <c r="O7" s="192"/>
      <c r="P7" s="310" t="s">
        <v>166</v>
      </c>
      <c r="Q7" s="311"/>
      <c r="R7" s="311"/>
      <c r="S7" s="311"/>
      <c r="T7" s="311"/>
      <c r="U7" s="311"/>
      <c r="V7" s="311"/>
      <c r="W7" s="311"/>
      <c r="X7" s="312"/>
      <c r="Y7" s="220" t="s">
        <v>80</v>
      </c>
      <c r="Z7" s="221"/>
      <c r="AA7" s="221"/>
      <c r="AB7" s="190">
        <f>PRELIM!AB7</f>
        <v>12345</v>
      </c>
      <c r="AC7" s="191"/>
      <c r="AD7" s="191"/>
      <c r="AE7" s="191"/>
      <c r="AF7" s="191"/>
      <c r="AG7" s="191"/>
      <c r="AH7" s="191"/>
      <c r="AI7" s="191"/>
      <c r="AJ7" s="192"/>
    </row>
    <row r="8" spans="2:37" ht="3" customHeight="1" thickTop="1" thickBot="1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</row>
    <row r="9" spans="2:37" ht="19.2" customHeight="1" thickTop="1" thickBot="1">
      <c r="B9" s="329" t="s">
        <v>75</v>
      </c>
      <c r="C9" s="330"/>
      <c r="D9" s="331"/>
      <c r="E9" s="63">
        <v>60</v>
      </c>
      <c r="F9" s="19"/>
      <c r="G9" s="324" t="s">
        <v>64</v>
      </c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  <c r="U9" s="325"/>
      <c r="V9" s="325"/>
      <c r="W9" s="325"/>
      <c r="X9" s="325"/>
      <c r="Y9" s="325"/>
      <c r="Z9" s="326"/>
      <c r="AA9" s="11"/>
      <c r="AB9" s="327" t="s">
        <v>65</v>
      </c>
      <c r="AC9" s="15"/>
      <c r="AD9" s="299" t="s">
        <v>6</v>
      </c>
      <c r="AE9" s="17"/>
      <c r="AF9" s="343" t="s">
        <v>25</v>
      </c>
      <c r="AG9" s="335" t="s">
        <v>24</v>
      </c>
      <c r="AH9" s="345" t="s">
        <v>7</v>
      </c>
      <c r="AI9" s="347" t="s">
        <v>62</v>
      </c>
      <c r="AJ9" s="348"/>
      <c r="AK9" s="14"/>
    </row>
    <row r="10" spans="2:37" ht="15.6" customHeight="1" thickTop="1">
      <c r="B10" s="332" t="s">
        <v>171</v>
      </c>
      <c r="C10" s="333"/>
      <c r="D10" s="334"/>
      <c r="E10" s="74"/>
      <c r="F10" s="26" t="b">
        <v>1</v>
      </c>
      <c r="G10" s="39" t="s">
        <v>8</v>
      </c>
      <c r="H10" s="296" t="str">
        <f>CONCATENATE(G10, "-%")</f>
        <v>O1-%</v>
      </c>
      <c r="I10" s="40" t="s">
        <v>9</v>
      </c>
      <c r="J10" s="296" t="str">
        <f>CONCATENATE(I10, "-%")</f>
        <v>O2-%</v>
      </c>
      <c r="K10" s="40" t="s">
        <v>10</v>
      </c>
      <c r="L10" s="296" t="str">
        <f>CONCATENATE(K10, "-%")</f>
        <v>O3-%</v>
      </c>
      <c r="M10" s="40" t="s">
        <v>11</v>
      </c>
      <c r="N10" s="296" t="str">
        <f>CONCATENATE(M10, "-%")</f>
        <v>O4-%</v>
      </c>
      <c r="O10" s="40" t="s">
        <v>12</v>
      </c>
      <c r="P10" s="296" t="str">
        <f>CONCATENATE(O10, "-%")</f>
        <v>O5-%</v>
      </c>
      <c r="Q10" s="40" t="s">
        <v>13</v>
      </c>
      <c r="R10" s="296" t="str">
        <f>CONCATENATE(Q10, "-%")</f>
        <v>O6-%</v>
      </c>
      <c r="S10" s="40" t="s">
        <v>14</v>
      </c>
      <c r="T10" s="296" t="str">
        <f>CONCATENATE(S10, "-%")</f>
        <v>O7-%</v>
      </c>
      <c r="U10" s="40" t="s">
        <v>15</v>
      </c>
      <c r="V10" s="296" t="str">
        <f>CONCATENATE(U10, "-%")</f>
        <v>O8-%</v>
      </c>
      <c r="W10" s="40" t="s">
        <v>16</v>
      </c>
      <c r="X10" s="296" t="str">
        <f>CONCATENATE(W10, "-%")</f>
        <v>O9-%</v>
      </c>
      <c r="Y10" s="40" t="s">
        <v>17</v>
      </c>
      <c r="Z10" s="294" t="str">
        <f>CONCATENATE(Y10, "-%")</f>
        <v>O10-%</v>
      </c>
      <c r="AA10" s="12"/>
      <c r="AB10" s="328"/>
      <c r="AC10" s="15"/>
      <c r="AD10" s="300"/>
      <c r="AE10" s="17"/>
      <c r="AF10" s="344"/>
      <c r="AG10" s="336"/>
      <c r="AH10" s="346"/>
      <c r="AI10" s="349"/>
      <c r="AJ10" s="350"/>
      <c r="AK10" s="14"/>
    </row>
    <row r="11" spans="2:37" ht="15" customHeight="1">
      <c r="B11" s="287" t="s">
        <v>153</v>
      </c>
      <c r="C11" s="288"/>
      <c r="D11" s="288"/>
      <c r="E11" s="64"/>
      <c r="F11" s="75" t="b">
        <v>1</v>
      </c>
      <c r="G11" s="298" t="s">
        <v>63</v>
      </c>
      <c r="H11" s="297"/>
      <c r="I11" s="293" t="s">
        <v>63</v>
      </c>
      <c r="J11" s="297"/>
      <c r="K11" s="293" t="s">
        <v>63</v>
      </c>
      <c r="L11" s="297"/>
      <c r="M11" s="293" t="s">
        <v>63</v>
      </c>
      <c r="N11" s="297"/>
      <c r="O11" s="293" t="s">
        <v>63</v>
      </c>
      <c r="P11" s="297"/>
      <c r="Q11" s="293" t="s">
        <v>63</v>
      </c>
      <c r="R11" s="297"/>
      <c r="S11" s="293" t="s">
        <v>63</v>
      </c>
      <c r="T11" s="297"/>
      <c r="U11" s="293" t="s">
        <v>63</v>
      </c>
      <c r="V11" s="297"/>
      <c r="W11" s="293" t="s">
        <v>63</v>
      </c>
      <c r="X11" s="297"/>
      <c r="Y11" s="293" t="s">
        <v>63</v>
      </c>
      <c r="Z11" s="295"/>
      <c r="AA11" s="12"/>
      <c r="AB11" s="328"/>
      <c r="AC11" s="15"/>
      <c r="AD11" s="300"/>
      <c r="AE11" s="17"/>
      <c r="AF11" s="344"/>
      <c r="AG11" s="336"/>
      <c r="AH11" s="346"/>
      <c r="AI11" s="349"/>
      <c r="AJ11" s="350"/>
      <c r="AK11" s="14"/>
    </row>
    <row r="12" spans="2:37" ht="15" customHeight="1" thickBot="1">
      <c r="B12" s="289" t="s">
        <v>154</v>
      </c>
      <c r="C12" s="290"/>
      <c r="D12" s="290"/>
      <c r="E12" s="73"/>
      <c r="F12" s="75" t="b">
        <v>1</v>
      </c>
      <c r="G12" s="298"/>
      <c r="H12" s="297"/>
      <c r="I12" s="293"/>
      <c r="J12" s="297"/>
      <c r="K12" s="293"/>
      <c r="L12" s="297"/>
      <c r="M12" s="293"/>
      <c r="N12" s="297"/>
      <c r="O12" s="293"/>
      <c r="P12" s="297"/>
      <c r="Q12" s="293"/>
      <c r="R12" s="297"/>
      <c r="S12" s="293"/>
      <c r="T12" s="297"/>
      <c r="U12" s="293"/>
      <c r="V12" s="297"/>
      <c r="W12" s="293"/>
      <c r="X12" s="297"/>
      <c r="Y12" s="293"/>
      <c r="Z12" s="295"/>
      <c r="AA12" s="12"/>
      <c r="AB12" s="328"/>
      <c r="AC12" s="15"/>
      <c r="AD12" s="300"/>
      <c r="AE12" s="17"/>
      <c r="AF12" s="344"/>
      <c r="AG12" s="336"/>
      <c r="AH12" s="346"/>
      <c r="AI12" s="349"/>
      <c r="AJ12" s="350"/>
      <c r="AK12" s="14"/>
    </row>
    <row r="13" spans="2:37" ht="15" customHeight="1" thickTop="1" thickBot="1">
      <c r="B13" s="71"/>
      <c r="C13" s="71"/>
      <c r="D13" s="71"/>
      <c r="E13" s="71"/>
      <c r="F13" s="19"/>
      <c r="G13" s="298"/>
      <c r="H13" s="297"/>
      <c r="I13" s="293"/>
      <c r="J13" s="297"/>
      <c r="K13" s="293"/>
      <c r="L13" s="297"/>
      <c r="M13" s="293"/>
      <c r="N13" s="297"/>
      <c r="O13" s="293"/>
      <c r="P13" s="297"/>
      <c r="Q13" s="293"/>
      <c r="R13" s="297"/>
      <c r="S13" s="293"/>
      <c r="T13" s="297"/>
      <c r="U13" s="293"/>
      <c r="V13" s="297"/>
      <c r="W13" s="293"/>
      <c r="X13" s="297"/>
      <c r="Y13" s="293"/>
      <c r="Z13" s="295"/>
      <c r="AA13" s="12"/>
      <c r="AB13" s="328"/>
      <c r="AC13" s="15"/>
      <c r="AD13" s="300"/>
      <c r="AE13" s="17"/>
      <c r="AF13" s="344"/>
      <c r="AG13" s="336"/>
      <c r="AH13" s="346"/>
      <c r="AI13" s="349"/>
      <c r="AJ13" s="350"/>
      <c r="AK13" s="14"/>
    </row>
    <row r="14" spans="2:37" ht="14.4" customHeight="1" thickTop="1" thickBot="1">
      <c r="B14" s="285" t="s">
        <v>39</v>
      </c>
      <c r="C14" s="319" t="s">
        <v>40</v>
      </c>
      <c r="D14" s="319" t="s">
        <v>41</v>
      </c>
      <c r="E14" s="317" t="s">
        <v>42</v>
      </c>
      <c r="F14" s="19"/>
      <c r="G14" s="298"/>
      <c r="H14" s="297"/>
      <c r="I14" s="293"/>
      <c r="J14" s="297"/>
      <c r="K14" s="293"/>
      <c r="L14" s="297"/>
      <c r="M14" s="293"/>
      <c r="N14" s="297"/>
      <c r="O14" s="293"/>
      <c r="P14" s="297"/>
      <c r="Q14" s="293"/>
      <c r="R14" s="297"/>
      <c r="S14" s="293"/>
      <c r="T14" s="297"/>
      <c r="U14" s="293"/>
      <c r="V14" s="297"/>
      <c r="W14" s="293"/>
      <c r="X14" s="297"/>
      <c r="Y14" s="293"/>
      <c r="Z14" s="295"/>
      <c r="AA14" s="12"/>
      <c r="AB14" s="328"/>
      <c r="AC14" s="15"/>
      <c r="AD14" s="300"/>
      <c r="AE14" s="17"/>
      <c r="AF14" s="344"/>
      <c r="AG14" s="336"/>
      <c r="AH14" s="346"/>
      <c r="AI14" s="349"/>
      <c r="AJ14" s="350"/>
      <c r="AK14" s="14"/>
    </row>
    <row r="15" spans="2:37" ht="15" customHeight="1" thickTop="1" thickBot="1">
      <c r="B15" s="286"/>
      <c r="C15" s="320"/>
      <c r="D15" s="320"/>
      <c r="E15" s="318"/>
      <c r="F15" s="19"/>
      <c r="G15" s="55">
        <v>0.25</v>
      </c>
      <c r="H15" s="297"/>
      <c r="I15" s="56">
        <v>0.25</v>
      </c>
      <c r="J15" s="297"/>
      <c r="K15" s="56">
        <v>0.25</v>
      </c>
      <c r="L15" s="297"/>
      <c r="M15" s="56">
        <v>0.25</v>
      </c>
      <c r="N15" s="297"/>
      <c r="O15" s="56"/>
      <c r="P15" s="297"/>
      <c r="Q15" s="56"/>
      <c r="R15" s="297"/>
      <c r="S15" s="56"/>
      <c r="T15" s="297"/>
      <c r="U15" s="56"/>
      <c r="V15" s="297"/>
      <c r="W15" s="56"/>
      <c r="X15" s="297"/>
      <c r="Y15" s="56"/>
      <c r="Z15" s="295"/>
      <c r="AA15" s="12"/>
      <c r="AB15" s="328"/>
      <c r="AC15" s="15"/>
      <c r="AD15" s="300"/>
      <c r="AE15" s="17"/>
      <c r="AF15" s="344"/>
      <c r="AG15" s="336"/>
      <c r="AH15" s="346"/>
      <c r="AI15" s="351"/>
      <c r="AJ15" s="352"/>
      <c r="AK15" s="14"/>
    </row>
    <row r="16" spans="2:37" ht="15" customHeight="1" thickTop="1" thickBot="1">
      <c r="B16" s="45" t="s">
        <v>39</v>
      </c>
      <c r="C16" s="46" t="s">
        <v>47</v>
      </c>
      <c r="D16" s="46" t="s">
        <v>47</v>
      </c>
      <c r="E16" s="47" t="s">
        <v>47</v>
      </c>
      <c r="F16" s="27">
        <f>COUNTIF(G16,"&gt;0")
 +COUNTIF(I16,"&gt;0")
 +COUNTIF(K16,"&gt;0")
 +COUNTIF(M16,"&gt;0")
 +COUNTIF(O16,"&gt;0")
 +COUNTIF(Q16,"&gt;0")
 +COUNTIF(S16,"&gt;0")
 +COUNTIF(U16,"&gt;0")
 +COUNTIF(W16,"&gt;0")
 +COUNTIF(Y16,"&gt;0")</f>
        <v>4</v>
      </c>
      <c r="G16" s="48">
        <v>100</v>
      </c>
      <c r="H16" s="49">
        <f>IF(
    OR(OR(C16="",D16="",E16=""),ISBLANK($G$16)),
    "-",
    IF(
        AND($G$16&lt;&gt;"",G16=""),
        "INC",
  G16/$G$16
    )
)</f>
        <v>1</v>
      </c>
      <c r="I16" s="50">
        <v>50</v>
      </c>
      <c r="J16" s="49">
        <f>IF(
 OR(OR(C16="",D16="",E16=""),ISBLANK($I$16)),
 "-",
 IF(
        AND($I$16&lt;&gt;"",I16=""),
        "INC",
  I16/$I$16
 )
)</f>
        <v>1</v>
      </c>
      <c r="K16" s="50">
        <v>100</v>
      </c>
      <c r="L16" s="49">
        <f>IF(
 OR(OR(C16="",D16="",E16=""),ISBLANK($K$16)),
 "-",
 IF(
        AND($K$16&lt;&gt;"",K16=""),
  "INC",
  IF(
   (K16/$K$16) &gt; 1,
   1,
   K16/$K$16
  )
 )
)</f>
        <v>1</v>
      </c>
      <c r="M16" s="50">
        <v>50</v>
      </c>
      <c r="N16" s="49">
        <f>IF(
 OR(OR(C16="",D16="",E16=""),ISBLANK($M$16)),
 "-",
 IF(
        AND($M$16&lt;&gt;"",M16=""),
        "INC",
  M16/$M$16
 )
)</f>
        <v>1</v>
      </c>
      <c r="O16" s="50"/>
      <c r="P16" s="49" t="str">
        <f>IF(
 OR(OR(C16="",D16="",E16=""),ISBLANK($O$16)),
 "-",
 IF(
        AND($O$16&lt;&gt;"",O16=""),
        "INC",
  O16/$O$16
 )
)</f>
        <v>-</v>
      </c>
      <c r="Q16" s="50"/>
      <c r="R16" s="49" t="str">
        <f>IF(
 OR(OR(C16="",D16="",E16=""),ISBLANK($Q$16)),
 "-",
 IF(
        AND($Q$16&lt;&gt;"",Q16=""),
        "INC",
  Q16/$Q$16
 )
)</f>
        <v>-</v>
      </c>
      <c r="S16" s="50"/>
      <c r="T16" s="49" t="str">
        <f>IF(
 OR(OR(C16="",D16="",E16=""),ISBLANK($S$16)),
 "-",
 IF(
        AND($S$16&lt;&gt;"",S16=""),
        "INC",
  S16/$S$16
 )
)</f>
        <v>-</v>
      </c>
      <c r="U16" s="50"/>
      <c r="V16" s="49" t="str">
        <f>IF(
 OR(OR(C16="",D16="",E16=""),ISBLANK($U$16)),
 "-",
 IF(
        AND($U$16&lt;&gt;"",U16=""),
        "INC",
  U16/$U$16
 )
)</f>
        <v>-</v>
      </c>
      <c r="W16" s="50"/>
      <c r="X16" s="49" t="str">
        <f>IF(
 OR(OR(C16="",D16="",E16=""),ISBLANK($W$16)),
 "-",
 IF(
        AND($W$16&lt;&gt;"",W16=""),
        "INC",
  W16/$W$16
 )
)</f>
        <v>-</v>
      </c>
      <c r="Y16" s="50"/>
      <c r="Z16" s="51" t="str">
        <f>IF(
 OR(OR(C16="",D16="",E16=""),ISBLANK($Y$16)),
 "-",
 IF(
        AND($Y$16&lt;&gt;"",Y16=""),
        "INC",
  Y16/$Y$16
 )
)</f>
        <v>-</v>
      </c>
      <c r="AA16" s="13"/>
      <c r="AB16" s="52">
        <f>IF(
 OR(
  H16 = "INC",
  J16 = "INC",
  L16 = "INC",
  N16 = "INC",
  P16 = "INC",
  R16 = "INC",
  T16 = "INC",
  V16 = "INC",
  X16 = "INC",
  Z16 = "INC"
 ), "INC",
 IF(
  AND(
   H16 = "-",
   J16 = "-",
   L16 = "-",
   N16 = "-",
   P16 = "-",
   R16 = "-",
   T16 = "-",
   V16 = "-",
   X16 = "-",
   Z16 = "-"
  ), "-",
  (
   IFERROR((H16 * $G$15), 0) +
   IFERROR((J16 * $I$15), 0) +
   IFERROR((L16 * $K$15), 0) +
   IFERROR((N16 * $M$15), 0) +
   IFERROR((P16 * $O$15), 0) +
   IFERROR((R16 * $Q$15), 0) +
   IFERROR((T16 * $S$15), 0) +
   IFERROR((V16 * $U$15), 0) +
   IFERROR((X16 * $W$15), 0) +
   IFERROR((Z16 * $Y$15), 0)
  ) * 100
 )
)</f>
        <v>100</v>
      </c>
      <c r="AC16" s="16"/>
      <c r="AD16" s="53">
        <f>IF(C16="","-", (VLOOKUP(C16, 'Attendance Sheet'!$C$7:$F$62,4,FALSE)))</f>
        <v>0</v>
      </c>
      <c r="AE16" s="18"/>
      <c r="AF16" s="76">
        <f>PRELIM!AF16</f>
        <v>1</v>
      </c>
      <c r="AG16" s="142">
        <f>IF(AB16 = "INC",
 "INC",
 IF(
  AB16 = "-",
  "-",
  VLOOKUP(AB16,'Grade Config'!$C$6:$D$37,2)
 )
)</f>
        <v>1</v>
      </c>
      <c r="AH16" s="90">
        <f>IF(
    OR(AF16="INC",AG16="INC"),
    "INC",
    IF(
        COUNT(AF16,AG16)=0,
        "-",
        (IF(ISNUMBER(AF16),AF16,0)+IF(ISNUMBER(AG16),AG16,0))
        / COUNT(AF16,AG16)
    )
)</f>
        <v>1</v>
      </c>
      <c r="AI16" s="337"/>
      <c r="AJ16" s="338"/>
      <c r="AK16" s="14"/>
    </row>
    <row r="17" spans="2:37" ht="15" customHeight="1" thickTop="1">
      <c r="B17" s="43">
        <v>1</v>
      </c>
      <c r="C17" s="58">
        <f>IF('Attendance Sheet'!C8 = "", "", 'Attendance Sheet'!C8)</f>
        <v>20214581735</v>
      </c>
      <c r="D17" s="58" t="str">
        <f>IF('Attendance Sheet'!D8 = "", "", 'Attendance Sheet'!D8)</f>
        <v>TestOnly1</v>
      </c>
      <c r="E17" s="60" t="str">
        <f>IF('Attendance Sheet'!E8 = "", "", 'Attendance Sheet'!E8)</f>
        <v>abcd</v>
      </c>
      <c r="F17" s="19"/>
      <c r="G17" s="44">
        <v>38</v>
      </c>
      <c r="H17" s="79">
        <f t="shared" ref="H17:H71" si="0">IF(
    OR(OR(C17="",D17="",E17=""),ISBLANK($G$16)),
    "-",
    IF(
        AND($G$16&lt;&gt;"",G17=""),
        "INC",
  G17/$G$16
    )
)</f>
        <v>0.38</v>
      </c>
      <c r="I17" s="20">
        <v>30</v>
      </c>
      <c r="J17" s="79">
        <f t="shared" ref="J17:J71" si="1">IF(
 OR(OR(C17="",D17="",E17=""),ISBLANK($I$16)),
 "-",
 IF(
        AND($I$16&lt;&gt;"",I17=""),
        "INC",
  I17/$I$16
 )
)</f>
        <v>0.6</v>
      </c>
      <c r="K17" s="20">
        <v>61</v>
      </c>
      <c r="L17" s="79">
        <f t="shared" ref="L17:L71" si="2">IF(
 OR(OR(C17="",D17="",E17=""),ISBLANK($K$16)),
 "-",
 IF(
        AND($K$16&lt;&gt;"",K17=""),
  "INC",
  IF(
   (K17/$K$16) &gt; 1,
   1,
   K17/$K$16
  )
 )
)</f>
        <v>0.61</v>
      </c>
      <c r="M17" s="20">
        <v>34</v>
      </c>
      <c r="N17" s="79">
        <f t="shared" ref="N17:N71" si="3">IF(
 OR(OR(C17="",D17="",E17=""),ISBLANK($M$16)),
 "-",
 IF(
        AND($M$16&lt;&gt;"",M17=""),
        "INC",
  M17/$M$16
 )
)</f>
        <v>0.68</v>
      </c>
      <c r="O17" s="20"/>
      <c r="P17" s="79" t="str">
        <f t="shared" ref="P17:P71" si="4">IF(
 OR(OR(C17="",D17="",E17=""),ISBLANK($O$16)),
 "-",
 IF(
        AND($O$16&lt;&gt;"",O17=""),
        "INC",
  O17/$O$16
 )
)</f>
        <v>-</v>
      </c>
      <c r="Q17" s="20"/>
      <c r="R17" s="79" t="str">
        <f t="shared" ref="R17:R71" si="5">IF(
 OR(OR(C17="",D17="",E17=""),ISBLANK($Q$16)),
 "-",
 IF(
        AND($Q$16&lt;&gt;"",Q17=""),
        "INC",
  Q17/$Q$16
 )
)</f>
        <v>-</v>
      </c>
      <c r="S17" s="20"/>
      <c r="T17" s="79" t="str">
        <f t="shared" ref="T17:T71" si="6">IF(
 OR(OR(C17="",D17="",E17=""),ISBLANK($S$16)),
 "-",
 IF(
        AND($S$16&lt;&gt;"",S17=""),
        "INC",
  S17/$S$16
 )
)</f>
        <v>-</v>
      </c>
      <c r="U17" s="20"/>
      <c r="V17" s="79" t="str">
        <f t="shared" ref="V17:V71" si="7">IF(
 OR(OR(C17="",D17="",E17=""),ISBLANK($U$16)),
 "-",
 IF(
        AND($U$16&lt;&gt;"",U17=""),
        "INC",
  U17/$U$16
 )
)</f>
        <v>-</v>
      </c>
      <c r="W17" s="20"/>
      <c r="X17" s="79" t="str">
        <f t="shared" ref="X17:X71" si="8">IF(
 OR(OR(C17="",D17="",E17=""),ISBLANK($W$16)),
 "-",
 IF(
        AND($W$16&lt;&gt;"",W17=""),
        "INC",
  W17/$W$16
 )
)</f>
        <v>-</v>
      </c>
      <c r="Y17" s="20"/>
      <c r="Z17" s="80" t="str">
        <f t="shared" ref="Z17:Z71" si="9">IF(
 OR(OR(C17="",D17="",E17=""),ISBLANK($Y$16)),
 "-",
 IF(
        AND($Y$16&lt;&gt;"",Y17=""),
        "INC",
  Y17/$Y$16
 )
)</f>
        <v>-</v>
      </c>
      <c r="AA17" s="13"/>
      <c r="AB17" s="81">
        <f t="shared" ref="AB17:AB71" si="10">IF(
 OR(
  H17 = "INC",
  J17 = "INC",
  L17 = "INC",
  N17 = "INC",
  P17 = "INC",
  R17 = "INC",
  T17 = "INC",
  V17 = "INC",
  X17 = "INC",
  Z17 = "INC"
 ), "INC",
 IF(
  AND(
   H17 = "-",
   J17 = "-",
   L17 = "-",
   N17 = "-",
   P17 = "-",
   R17 = "-",
   T17 = "-",
   V17 = "-",
   X17 = "-",
   Z17 = "-"
  ), "-",
  (
   IFERROR((H17 * $G$15), 0) +
   IFERROR((J17 * $I$15), 0) +
   IFERROR((L17 * $K$15), 0) +
   IFERROR((N17 * $M$15), 0) +
   IFERROR((P17 * $O$15), 0) +
   IFERROR((R17 * $Q$15), 0) +
   IFERROR((T17 * $S$15), 0) +
   IFERROR((V17 * $U$15), 0) +
   IFERROR((X17 * $W$15), 0) +
   IFERROR((Z17 * $Y$15), 0)
  ) * 100
 )
)</f>
        <v>56.75</v>
      </c>
      <c r="AC17" s="16"/>
      <c r="AD17" s="38">
        <f>IF(C17="","-", (VLOOKUP(C17, 'Attendance Sheet'!$C$7:$F$62,4,FALSE)))</f>
        <v>2</v>
      </c>
      <c r="AE17" s="18"/>
      <c r="AF17" s="77">
        <f>PRELIM!AF17</f>
        <v>1.1000000000000001</v>
      </c>
      <c r="AG17" s="143">
        <f>IF(AB17 = "INC",
 "INC",
 IF(
  AB17 = "-",
  "-",
  VLOOKUP(AB17,'Grade Config'!$C$6:$D$37,2)
 )
)</f>
        <v>3.1</v>
      </c>
      <c r="AH17" s="91">
        <f t="shared" ref="AH17:AH71" si="11">IF(
    OR(AF17="INC",AG17="INC"),
    "INC",
    IF(
        COUNT(AF17,AG17)=0,
        "-",
        (IF(ISNUMBER(AF17),AF17,0)+IF(ISNUMBER(AG17),AG17,0))
        / COUNT(AF17,AG17)
    )
)</f>
        <v>2.1</v>
      </c>
      <c r="AI17" s="339"/>
      <c r="AJ17" s="340"/>
      <c r="AK17" s="14"/>
    </row>
    <row r="18" spans="2:37">
      <c r="B18" s="33">
        <v>2</v>
      </c>
      <c r="C18" s="57">
        <f>IF('Attendance Sheet'!C9 = "", "", 'Attendance Sheet'!C9)</f>
        <v>20301234567</v>
      </c>
      <c r="D18" s="57" t="str">
        <f>IF('Attendance Sheet'!D9 = "", "", 'Attendance Sheet'!D9)</f>
        <v>TestOnly2</v>
      </c>
      <c r="E18" s="61" t="str">
        <f>IF('Attendance Sheet'!E9 = "", "", 'Attendance Sheet'!E9)</f>
        <v>efg</v>
      </c>
      <c r="F18" s="19"/>
      <c r="G18" s="34">
        <v>70</v>
      </c>
      <c r="H18" s="68">
        <f t="shared" si="0"/>
        <v>0.7</v>
      </c>
      <c r="I18" s="41">
        <v>48</v>
      </c>
      <c r="J18" s="68">
        <f t="shared" si="1"/>
        <v>0.96</v>
      </c>
      <c r="K18" s="41">
        <v>95</v>
      </c>
      <c r="L18" s="68">
        <f t="shared" si="2"/>
        <v>0.95</v>
      </c>
      <c r="M18" s="41">
        <v>15</v>
      </c>
      <c r="N18" s="68">
        <f t="shared" si="3"/>
        <v>0.3</v>
      </c>
      <c r="O18" s="41"/>
      <c r="P18" s="68" t="str">
        <f t="shared" si="4"/>
        <v>-</v>
      </c>
      <c r="Q18" s="41"/>
      <c r="R18" s="68" t="str">
        <f t="shared" si="5"/>
        <v>-</v>
      </c>
      <c r="S18" s="41"/>
      <c r="T18" s="68" t="str">
        <f t="shared" si="6"/>
        <v>-</v>
      </c>
      <c r="U18" s="41"/>
      <c r="V18" s="68" t="str">
        <f t="shared" si="7"/>
        <v>-</v>
      </c>
      <c r="W18" s="41"/>
      <c r="X18" s="68" t="str">
        <f t="shared" si="8"/>
        <v>-</v>
      </c>
      <c r="Y18" s="41"/>
      <c r="Z18" s="69" t="str">
        <f t="shared" si="9"/>
        <v>-</v>
      </c>
      <c r="AA18" s="13"/>
      <c r="AB18" s="85">
        <f t="shared" si="10"/>
        <v>72.749999999999986</v>
      </c>
      <c r="AC18" s="16"/>
      <c r="AD18" s="36">
        <f>IF(C18="","-", (VLOOKUP(C18, 'Attendance Sheet'!$C$7:$F$62,4,FALSE)))</f>
        <v>1</v>
      </c>
      <c r="AE18" s="18"/>
      <c r="AF18" s="89">
        <f>PRELIM!AF18</f>
        <v>2.1</v>
      </c>
      <c r="AG18" s="145">
        <f>IF(AB18 = "INC",
 "INC",
 IF(
  AB18 = "-",
  "-",
  VLOOKUP(AB18,'Grade Config'!$C$6:$D$37,2)
 )
)</f>
        <v>2.4</v>
      </c>
      <c r="AH18" s="92">
        <f t="shared" si="11"/>
        <v>2.25</v>
      </c>
      <c r="AI18" s="341"/>
      <c r="AJ18" s="342"/>
      <c r="AK18" s="14"/>
    </row>
    <row r="19" spans="2:37">
      <c r="B19" s="33">
        <v>3</v>
      </c>
      <c r="C19" s="57" t="str">
        <f>IF('Attendance Sheet'!C10 = "", "", 'Attendance Sheet'!C10)</f>
        <v>20351111111</v>
      </c>
      <c r="D19" s="57" t="str">
        <f>IF('Attendance Sheet'!D10 = "", "", 'Attendance Sheet'!D10)</f>
        <v>TestOnly3</v>
      </c>
      <c r="E19" s="61" t="str">
        <f>IF('Attendance Sheet'!E10 = "", "", 'Attendance Sheet'!E10)</f>
        <v>hijkl</v>
      </c>
      <c r="F19" s="19"/>
      <c r="G19" s="34">
        <v>77</v>
      </c>
      <c r="H19" s="68">
        <f t="shared" si="0"/>
        <v>0.77</v>
      </c>
      <c r="I19" s="41">
        <v>47</v>
      </c>
      <c r="J19" s="68">
        <f t="shared" si="1"/>
        <v>0.94</v>
      </c>
      <c r="K19" s="41">
        <v>95</v>
      </c>
      <c r="L19" s="68">
        <f t="shared" si="2"/>
        <v>0.95</v>
      </c>
      <c r="M19" s="41">
        <v>45</v>
      </c>
      <c r="N19" s="68">
        <f t="shared" si="3"/>
        <v>0.9</v>
      </c>
      <c r="O19" s="41"/>
      <c r="P19" s="68" t="str">
        <f t="shared" si="4"/>
        <v>-</v>
      </c>
      <c r="Q19" s="41"/>
      <c r="R19" s="68" t="str">
        <f t="shared" si="5"/>
        <v>-</v>
      </c>
      <c r="S19" s="41"/>
      <c r="T19" s="68" t="str">
        <f t="shared" si="6"/>
        <v>-</v>
      </c>
      <c r="U19" s="41"/>
      <c r="V19" s="68" t="str">
        <f t="shared" si="7"/>
        <v>-</v>
      </c>
      <c r="W19" s="41"/>
      <c r="X19" s="68" t="str">
        <f t="shared" si="8"/>
        <v>-</v>
      </c>
      <c r="Y19" s="41"/>
      <c r="Z19" s="69" t="str">
        <f t="shared" si="9"/>
        <v>-</v>
      </c>
      <c r="AA19" s="13"/>
      <c r="AB19" s="85">
        <f t="shared" si="10"/>
        <v>89</v>
      </c>
      <c r="AC19" s="16"/>
      <c r="AD19" s="36">
        <f>IF(C19="","-", (VLOOKUP(C19, 'Attendance Sheet'!$C$7:$F$62,4,FALSE)))</f>
        <v>0</v>
      </c>
      <c r="AE19" s="18"/>
      <c r="AF19" s="89">
        <f>PRELIM!AF19</f>
        <v>3</v>
      </c>
      <c r="AG19" s="145">
        <f>IF(AB19 = "INC",
 "INC",
 IF(
  AB19 = "-",
  "-",
  VLOOKUP(AB19,'Grade Config'!$C$6:$D$37,2)
 )
)</f>
        <v>1.5</v>
      </c>
      <c r="AH19" s="92">
        <f t="shared" si="11"/>
        <v>2.25</v>
      </c>
      <c r="AI19" s="341"/>
      <c r="AJ19" s="342"/>
      <c r="AK19" s="14"/>
    </row>
    <row r="20" spans="2:37">
      <c r="B20" s="33">
        <v>4</v>
      </c>
      <c r="C20" s="57" t="str">
        <f>IF('Attendance Sheet'!C11 = "", "", 'Attendance Sheet'!C11)</f>
        <v>20259876554</v>
      </c>
      <c r="D20" s="57" t="str">
        <f>IF('Attendance Sheet'!D11 = "", "", 'Attendance Sheet'!D11)</f>
        <v>TestOnly4</v>
      </c>
      <c r="E20" s="61" t="str">
        <f>IF('Attendance Sheet'!E11 = "", "", 'Attendance Sheet'!E11)</f>
        <v>qweasd</v>
      </c>
      <c r="F20" s="19"/>
      <c r="G20" s="34">
        <v>99</v>
      </c>
      <c r="H20" s="68">
        <f t="shared" si="0"/>
        <v>0.99</v>
      </c>
      <c r="I20" s="41">
        <v>31</v>
      </c>
      <c r="J20" s="68">
        <f t="shared" si="1"/>
        <v>0.62</v>
      </c>
      <c r="K20" s="41">
        <v>34</v>
      </c>
      <c r="L20" s="68">
        <f t="shared" si="2"/>
        <v>0.34</v>
      </c>
      <c r="M20" s="41"/>
      <c r="N20" s="68" t="str">
        <f t="shared" si="3"/>
        <v>INC</v>
      </c>
      <c r="O20" s="41"/>
      <c r="P20" s="68" t="str">
        <f t="shared" si="4"/>
        <v>-</v>
      </c>
      <c r="Q20" s="41"/>
      <c r="R20" s="68" t="str">
        <f t="shared" si="5"/>
        <v>-</v>
      </c>
      <c r="S20" s="41"/>
      <c r="T20" s="68" t="str">
        <f t="shared" si="6"/>
        <v>-</v>
      </c>
      <c r="U20" s="41"/>
      <c r="V20" s="68" t="str">
        <f t="shared" si="7"/>
        <v>-</v>
      </c>
      <c r="W20" s="41"/>
      <c r="X20" s="68" t="str">
        <f t="shared" si="8"/>
        <v>-</v>
      </c>
      <c r="Y20" s="41"/>
      <c r="Z20" s="69" t="str">
        <f t="shared" si="9"/>
        <v>-</v>
      </c>
      <c r="AA20" s="13"/>
      <c r="AB20" s="85" t="str">
        <f t="shared" si="10"/>
        <v>INC</v>
      </c>
      <c r="AC20" s="16"/>
      <c r="AD20" s="36">
        <f>IF(C20="","-", (VLOOKUP(C20, 'Attendance Sheet'!$C$7:$F$62,4,FALSE)))</f>
        <v>1</v>
      </c>
      <c r="AE20" s="18"/>
      <c r="AF20" s="89">
        <f>PRELIM!AF20</f>
        <v>3.4</v>
      </c>
      <c r="AG20" s="145" t="str">
        <f>IF(AB20 = "INC",
 "INC",
 IF(
  AB20 = "-",
  "-",
  VLOOKUP(AB20,'Grade Config'!$C$6:$D$37,2)
 )
)</f>
        <v>INC</v>
      </c>
      <c r="AH20" s="92" t="str">
        <f t="shared" si="11"/>
        <v>INC</v>
      </c>
      <c r="AI20" s="341"/>
      <c r="AJ20" s="342"/>
      <c r="AK20" s="14"/>
    </row>
    <row r="21" spans="2:37">
      <c r="B21" s="33">
        <v>5</v>
      </c>
      <c r="C21" s="57" t="str">
        <f>IF('Attendance Sheet'!C12 = "", "", 'Attendance Sheet'!C12)</f>
        <v>20251234567</v>
      </c>
      <c r="D21" s="57" t="str">
        <f>IF('Attendance Sheet'!D12 = "", "", 'Attendance Sheet'!D12)</f>
        <v>TestOnly5</v>
      </c>
      <c r="E21" s="61" t="str">
        <f>IF('Attendance Sheet'!E12 = "", "", 'Attendance Sheet'!E12)</f>
        <v>wkoqwke</v>
      </c>
      <c r="F21" s="19"/>
      <c r="G21" s="34">
        <v>99</v>
      </c>
      <c r="H21" s="68">
        <f t="shared" si="0"/>
        <v>0.99</v>
      </c>
      <c r="I21" s="41">
        <v>34</v>
      </c>
      <c r="J21" s="68">
        <f t="shared" si="1"/>
        <v>0.68</v>
      </c>
      <c r="K21" s="41">
        <v>89</v>
      </c>
      <c r="L21" s="68">
        <f t="shared" si="2"/>
        <v>0.89</v>
      </c>
      <c r="M21" s="41">
        <v>39</v>
      </c>
      <c r="N21" s="68">
        <f t="shared" si="3"/>
        <v>0.78</v>
      </c>
      <c r="O21" s="41"/>
      <c r="P21" s="68" t="str">
        <f t="shared" si="4"/>
        <v>-</v>
      </c>
      <c r="Q21" s="41"/>
      <c r="R21" s="68" t="str">
        <f t="shared" si="5"/>
        <v>-</v>
      </c>
      <c r="S21" s="41"/>
      <c r="T21" s="68" t="str">
        <f t="shared" si="6"/>
        <v>-</v>
      </c>
      <c r="U21" s="41"/>
      <c r="V21" s="68" t="str">
        <f t="shared" si="7"/>
        <v>-</v>
      </c>
      <c r="W21" s="41"/>
      <c r="X21" s="68" t="str">
        <f t="shared" si="8"/>
        <v>-</v>
      </c>
      <c r="Y21" s="41"/>
      <c r="Z21" s="69" t="str">
        <f t="shared" si="9"/>
        <v>-</v>
      </c>
      <c r="AA21" s="13"/>
      <c r="AB21" s="85">
        <f t="shared" si="10"/>
        <v>83.5</v>
      </c>
      <c r="AC21" s="16"/>
      <c r="AD21" s="36">
        <f>IF(C21="","-", (VLOOKUP(C21, 'Attendance Sheet'!$C$7:$F$62,4,FALSE)))</f>
        <v>0</v>
      </c>
      <c r="AE21" s="18"/>
      <c r="AF21" s="89" t="str">
        <f>PRELIM!AF21</f>
        <v>INC</v>
      </c>
      <c r="AG21" s="145">
        <f>IF(AB21 = "INC",
 "INC",
 IF(
  AB21 = "-",
  "-",
  VLOOKUP(AB21,'Grade Config'!$C$6:$D$37,2)
 )
)</f>
        <v>1.8</v>
      </c>
      <c r="AH21" s="92" t="str">
        <f t="shared" si="11"/>
        <v>INC</v>
      </c>
      <c r="AI21" s="341"/>
      <c r="AJ21" s="342"/>
      <c r="AK21" s="14"/>
    </row>
    <row r="22" spans="2:37">
      <c r="B22" s="33">
        <v>6</v>
      </c>
      <c r="C22" s="57" t="str">
        <f>IF('Attendance Sheet'!C13 = "", "", 'Attendance Sheet'!C13)</f>
        <v/>
      </c>
      <c r="D22" s="57" t="str">
        <f>IF('Attendance Sheet'!D13 = "", "", 'Attendance Sheet'!D13)</f>
        <v/>
      </c>
      <c r="E22" s="61" t="str">
        <f>IF('Attendance Sheet'!E13 = "", "", 'Attendance Sheet'!E13)</f>
        <v/>
      </c>
      <c r="F22" s="19"/>
      <c r="G22" s="34"/>
      <c r="H22" s="68" t="str">
        <f t="shared" si="0"/>
        <v>-</v>
      </c>
      <c r="I22" s="41"/>
      <c r="J22" s="68" t="str">
        <f t="shared" si="1"/>
        <v>-</v>
      </c>
      <c r="K22" s="41"/>
      <c r="L22" s="68" t="str">
        <f t="shared" si="2"/>
        <v>-</v>
      </c>
      <c r="M22" s="41"/>
      <c r="N22" s="68" t="str">
        <f t="shared" si="3"/>
        <v>-</v>
      </c>
      <c r="O22" s="41"/>
      <c r="P22" s="68" t="str">
        <f t="shared" si="4"/>
        <v>-</v>
      </c>
      <c r="Q22" s="41"/>
      <c r="R22" s="68" t="str">
        <f t="shared" si="5"/>
        <v>-</v>
      </c>
      <c r="S22" s="41"/>
      <c r="T22" s="68" t="str">
        <f t="shared" si="6"/>
        <v>-</v>
      </c>
      <c r="U22" s="41"/>
      <c r="V22" s="68" t="str">
        <f t="shared" si="7"/>
        <v>-</v>
      </c>
      <c r="W22" s="41"/>
      <c r="X22" s="68" t="str">
        <f t="shared" si="8"/>
        <v>-</v>
      </c>
      <c r="Y22" s="41"/>
      <c r="Z22" s="69" t="str">
        <f t="shared" si="9"/>
        <v>-</v>
      </c>
      <c r="AA22" s="13"/>
      <c r="AB22" s="85" t="str">
        <f t="shared" si="10"/>
        <v>-</v>
      </c>
      <c r="AC22" s="16"/>
      <c r="AD22" s="36" t="str">
        <f>IF(C22="","-", (VLOOKUP(C22, 'Attendance Sheet'!$C$7:$F$62,4,FALSE)))</f>
        <v>-</v>
      </c>
      <c r="AE22" s="18"/>
      <c r="AF22" s="89" t="str">
        <f>PRELIM!AF22</f>
        <v>-</v>
      </c>
      <c r="AG22" s="145" t="str">
        <f>IF(AB22 = "INC",
 "INC",
 IF(
  AB22 = "-",
  "-",
  VLOOKUP(AB22,'Grade Config'!$C$6:$D$37,2)
 )
)</f>
        <v>-</v>
      </c>
      <c r="AH22" s="92" t="str">
        <f t="shared" si="11"/>
        <v>-</v>
      </c>
      <c r="AI22" s="341"/>
      <c r="AJ22" s="342"/>
      <c r="AK22" s="14"/>
    </row>
    <row r="23" spans="2:37">
      <c r="B23" s="33">
        <v>7</v>
      </c>
      <c r="C23" s="57" t="str">
        <f>IF('Attendance Sheet'!C14 = "", "", 'Attendance Sheet'!C14)</f>
        <v/>
      </c>
      <c r="D23" s="57" t="str">
        <f>IF('Attendance Sheet'!D14 = "", "", 'Attendance Sheet'!D14)</f>
        <v/>
      </c>
      <c r="E23" s="61" t="str">
        <f>IF('Attendance Sheet'!E14 = "", "", 'Attendance Sheet'!E14)</f>
        <v/>
      </c>
      <c r="F23" s="19"/>
      <c r="G23" s="34"/>
      <c r="H23" s="68" t="str">
        <f t="shared" si="0"/>
        <v>-</v>
      </c>
      <c r="I23" s="41"/>
      <c r="J23" s="68" t="str">
        <f t="shared" si="1"/>
        <v>-</v>
      </c>
      <c r="K23" s="41"/>
      <c r="L23" s="68" t="str">
        <f t="shared" si="2"/>
        <v>-</v>
      </c>
      <c r="M23" s="41"/>
      <c r="N23" s="68" t="str">
        <f t="shared" si="3"/>
        <v>-</v>
      </c>
      <c r="O23" s="41"/>
      <c r="P23" s="68" t="str">
        <f t="shared" si="4"/>
        <v>-</v>
      </c>
      <c r="Q23" s="41"/>
      <c r="R23" s="68" t="str">
        <f t="shared" si="5"/>
        <v>-</v>
      </c>
      <c r="S23" s="41"/>
      <c r="T23" s="68" t="str">
        <f t="shared" si="6"/>
        <v>-</v>
      </c>
      <c r="U23" s="41"/>
      <c r="V23" s="68" t="str">
        <f t="shared" si="7"/>
        <v>-</v>
      </c>
      <c r="W23" s="41"/>
      <c r="X23" s="68" t="str">
        <f t="shared" si="8"/>
        <v>-</v>
      </c>
      <c r="Y23" s="41"/>
      <c r="Z23" s="69" t="str">
        <f t="shared" si="9"/>
        <v>-</v>
      </c>
      <c r="AA23" s="13"/>
      <c r="AB23" s="85" t="str">
        <f t="shared" si="10"/>
        <v>-</v>
      </c>
      <c r="AC23" s="16"/>
      <c r="AD23" s="36" t="str">
        <f>IF(C23="","-", (VLOOKUP(C23, 'Attendance Sheet'!$C$7:$F$62,4,FALSE)))</f>
        <v>-</v>
      </c>
      <c r="AE23" s="18"/>
      <c r="AF23" s="89" t="str">
        <f>PRELIM!AF23</f>
        <v>-</v>
      </c>
      <c r="AG23" s="145" t="str">
        <f>IF(AB23 = "INC",
 "INC",
 IF(
  AB23 = "-",
  "-",
  VLOOKUP(AB23,'Grade Config'!$C$6:$D$37,2)
 )
)</f>
        <v>-</v>
      </c>
      <c r="AH23" s="92" t="str">
        <f t="shared" si="11"/>
        <v>-</v>
      </c>
      <c r="AI23" s="341"/>
      <c r="AJ23" s="342"/>
      <c r="AK23" s="14"/>
    </row>
    <row r="24" spans="2:37">
      <c r="B24" s="33">
        <v>8</v>
      </c>
      <c r="C24" s="57" t="str">
        <f>IF('Attendance Sheet'!C15 = "", "", 'Attendance Sheet'!C15)</f>
        <v/>
      </c>
      <c r="D24" s="57" t="str">
        <f>IF('Attendance Sheet'!D15 = "", "", 'Attendance Sheet'!D15)</f>
        <v/>
      </c>
      <c r="E24" s="61" t="str">
        <f>IF('Attendance Sheet'!E15 = "", "", 'Attendance Sheet'!E15)</f>
        <v/>
      </c>
      <c r="F24" s="19"/>
      <c r="G24" s="34"/>
      <c r="H24" s="68" t="str">
        <f t="shared" si="0"/>
        <v>-</v>
      </c>
      <c r="I24" s="41"/>
      <c r="J24" s="68" t="str">
        <f t="shared" si="1"/>
        <v>-</v>
      </c>
      <c r="K24" s="41"/>
      <c r="L24" s="68" t="str">
        <f t="shared" si="2"/>
        <v>-</v>
      </c>
      <c r="M24" s="41"/>
      <c r="N24" s="68" t="str">
        <f t="shared" si="3"/>
        <v>-</v>
      </c>
      <c r="O24" s="41"/>
      <c r="P24" s="68" t="str">
        <f t="shared" si="4"/>
        <v>-</v>
      </c>
      <c r="Q24" s="41"/>
      <c r="R24" s="68" t="str">
        <f t="shared" si="5"/>
        <v>-</v>
      </c>
      <c r="S24" s="41"/>
      <c r="T24" s="68" t="str">
        <f t="shared" si="6"/>
        <v>-</v>
      </c>
      <c r="U24" s="41"/>
      <c r="V24" s="68" t="str">
        <f t="shared" si="7"/>
        <v>-</v>
      </c>
      <c r="W24" s="41"/>
      <c r="X24" s="68" t="str">
        <f t="shared" si="8"/>
        <v>-</v>
      </c>
      <c r="Y24" s="41"/>
      <c r="Z24" s="69" t="str">
        <f t="shared" si="9"/>
        <v>-</v>
      </c>
      <c r="AA24" s="13"/>
      <c r="AB24" s="85" t="str">
        <f t="shared" si="10"/>
        <v>-</v>
      </c>
      <c r="AC24" s="16"/>
      <c r="AD24" s="36" t="str">
        <f>IF(C24="","-", (VLOOKUP(C24, 'Attendance Sheet'!$C$7:$F$62,4,FALSE)))</f>
        <v>-</v>
      </c>
      <c r="AE24" s="18"/>
      <c r="AF24" s="89" t="str">
        <f>PRELIM!AF24</f>
        <v>-</v>
      </c>
      <c r="AG24" s="145" t="str">
        <f>IF(AB24 = "INC",
 "INC",
 IF(
  AB24 = "-",
  "-",
  VLOOKUP(AB24,'Grade Config'!$C$6:$D$37,2)
 )
)</f>
        <v>-</v>
      </c>
      <c r="AH24" s="92" t="str">
        <f t="shared" si="11"/>
        <v>-</v>
      </c>
      <c r="AI24" s="341"/>
      <c r="AJ24" s="342"/>
      <c r="AK24" s="14"/>
    </row>
    <row r="25" spans="2:37">
      <c r="B25" s="33">
        <v>9</v>
      </c>
      <c r="C25" s="57" t="str">
        <f>IF('Attendance Sheet'!C16 = "", "", 'Attendance Sheet'!C16)</f>
        <v/>
      </c>
      <c r="D25" s="57" t="str">
        <f>IF('Attendance Sheet'!D16 = "", "", 'Attendance Sheet'!D16)</f>
        <v/>
      </c>
      <c r="E25" s="61" t="str">
        <f>IF('Attendance Sheet'!E16 = "", "", 'Attendance Sheet'!E16)</f>
        <v/>
      </c>
      <c r="F25" s="19"/>
      <c r="G25" s="34"/>
      <c r="H25" s="68" t="str">
        <f t="shared" si="0"/>
        <v>-</v>
      </c>
      <c r="I25" s="41"/>
      <c r="J25" s="68" t="str">
        <f t="shared" si="1"/>
        <v>-</v>
      </c>
      <c r="K25" s="41"/>
      <c r="L25" s="68" t="str">
        <f t="shared" si="2"/>
        <v>-</v>
      </c>
      <c r="M25" s="41"/>
      <c r="N25" s="68" t="str">
        <f t="shared" si="3"/>
        <v>-</v>
      </c>
      <c r="O25" s="41"/>
      <c r="P25" s="68" t="str">
        <f t="shared" si="4"/>
        <v>-</v>
      </c>
      <c r="Q25" s="41"/>
      <c r="R25" s="68" t="str">
        <f t="shared" si="5"/>
        <v>-</v>
      </c>
      <c r="S25" s="41"/>
      <c r="T25" s="68" t="str">
        <f t="shared" si="6"/>
        <v>-</v>
      </c>
      <c r="U25" s="41"/>
      <c r="V25" s="68" t="str">
        <f t="shared" si="7"/>
        <v>-</v>
      </c>
      <c r="W25" s="41"/>
      <c r="X25" s="68" t="str">
        <f t="shared" si="8"/>
        <v>-</v>
      </c>
      <c r="Y25" s="41"/>
      <c r="Z25" s="69" t="str">
        <f t="shared" si="9"/>
        <v>-</v>
      </c>
      <c r="AA25" s="13"/>
      <c r="AB25" s="85" t="str">
        <f t="shared" si="10"/>
        <v>-</v>
      </c>
      <c r="AC25" s="16"/>
      <c r="AD25" s="36" t="str">
        <f>IF(C25="","-", (VLOOKUP(C25, 'Attendance Sheet'!$C$7:$F$62,4,FALSE)))</f>
        <v>-</v>
      </c>
      <c r="AE25" s="18"/>
      <c r="AF25" s="89" t="str">
        <f>PRELIM!AF25</f>
        <v>-</v>
      </c>
      <c r="AG25" s="145" t="str">
        <f>IF(AB25 = "INC",
 "INC",
 IF(
  AB25 = "-",
  "-",
  VLOOKUP(AB25,'Grade Config'!$C$6:$D$37,2)
 )
)</f>
        <v>-</v>
      </c>
      <c r="AH25" s="92" t="str">
        <f t="shared" si="11"/>
        <v>-</v>
      </c>
      <c r="AI25" s="341"/>
      <c r="AJ25" s="342"/>
      <c r="AK25" s="14"/>
    </row>
    <row r="26" spans="2:37">
      <c r="B26" s="33">
        <v>10</v>
      </c>
      <c r="C26" s="57" t="str">
        <f>IF('Attendance Sheet'!C17 = "", "", 'Attendance Sheet'!C17)</f>
        <v/>
      </c>
      <c r="D26" s="57" t="str">
        <f>IF('Attendance Sheet'!D17 = "", "", 'Attendance Sheet'!D17)</f>
        <v/>
      </c>
      <c r="E26" s="61" t="str">
        <f>IF('Attendance Sheet'!E17 = "", "", 'Attendance Sheet'!E17)</f>
        <v/>
      </c>
      <c r="F26" s="19"/>
      <c r="G26" s="34"/>
      <c r="H26" s="68" t="str">
        <f t="shared" si="0"/>
        <v>-</v>
      </c>
      <c r="I26" s="41"/>
      <c r="J26" s="68" t="str">
        <f t="shared" si="1"/>
        <v>-</v>
      </c>
      <c r="K26" s="41"/>
      <c r="L26" s="68" t="str">
        <f t="shared" si="2"/>
        <v>-</v>
      </c>
      <c r="M26" s="41"/>
      <c r="N26" s="68" t="str">
        <f t="shared" si="3"/>
        <v>-</v>
      </c>
      <c r="O26" s="41"/>
      <c r="P26" s="68" t="str">
        <f t="shared" si="4"/>
        <v>-</v>
      </c>
      <c r="Q26" s="41"/>
      <c r="R26" s="68" t="str">
        <f t="shared" si="5"/>
        <v>-</v>
      </c>
      <c r="S26" s="41"/>
      <c r="T26" s="68" t="str">
        <f t="shared" si="6"/>
        <v>-</v>
      </c>
      <c r="U26" s="41"/>
      <c r="V26" s="68" t="str">
        <f t="shared" si="7"/>
        <v>-</v>
      </c>
      <c r="W26" s="41"/>
      <c r="X26" s="68" t="str">
        <f t="shared" si="8"/>
        <v>-</v>
      </c>
      <c r="Y26" s="41"/>
      <c r="Z26" s="69" t="str">
        <f t="shared" si="9"/>
        <v>-</v>
      </c>
      <c r="AA26" s="13"/>
      <c r="AB26" s="85" t="str">
        <f t="shared" si="10"/>
        <v>-</v>
      </c>
      <c r="AC26" s="16"/>
      <c r="AD26" s="36" t="str">
        <f>IF(C26="","-", (VLOOKUP(C26, 'Attendance Sheet'!$C$7:$F$62,4,FALSE)))</f>
        <v>-</v>
      </c>
      <c r="AE26" s="18"/>
      <c r="AF26" s="89" t="str">
        <f>PRELIM!AF26</f>
        <v>-</v>
      </c>
      <c r="AG26" s="145" t="str">
        <f>IF(AB26 = "INC",
 "INC",
 IF(
  AB26 = "-",
  "-",
  VLOOKUP(AB26,'Grade Config'!$C$6:$D$37,2)
 )
)</f>
        <v>-</v>
      </c>
      <c r="AH26" s="92" t="str">
        <f t="shared" si="11"/>
        <v>-</v>
      </c>
      <c r="AI26" s="341"/>
      <c r="AJ26" s="342"/>
      <c r="AK26" s="14"/>
    </row>
    <row r="27" spans="2:37">
      <c r="B27" s="33">
        <v>11</v>
      </c>
      <c r="C27" s="57" t="str">
        <f>IF('Attendance Sheet'!C18 = "", "", 'Attendance Sheet'!C18)</f>
        <v/>
      </c>
      <c r="D27" s="57" t="str">
        <f>IF('Attendance Sheet'!D18 = "", "", 'Attendance Sheet'!D18)</f>
        <v/>
      </c>
      <c r="E27" s="61" t="str">
        <f>IF('Attendance Sheet'!E18 = "", "", 'Attendance Sheet'!E18)</f>
        <v/>
      </c>
      <c r="F27" s="19"/>
      <c r="G27" s="34"/>
      <c r="H27" s="68" t="str">
        <f t="shared" si="0"/>
        <v>-</v>
      </c>
      <c r="I27" s="41"/>
      <c r="J27" s="68" t="str">
        <f t="shared" si="1"/>
        <v>-</v>
      </c>
      <c r="K27" s="41"/>
      <c r="L27" s="68" t="str">
        <f t="shared" si="2"/>
        <v>-</v>
      </c>
      <c r="M27" s="41"/>
      <c r="N27" s="68" t="str">
        <f t="shared" si="3"/>
        <v>-</v>
      </c>
      <c r="O27" s="41"/>
      <c r="P27" s="68" t="str">
        <f t="shared" si="4"/>
        <v>-</v>
      </c>
      <c r="Q27" s="41"/>
      <c r="R27" s="68" t="str">
        <f t="shared" si="5"/>
        <v>-</v>
      </c>
      <c r="S27" s="41"/>
      <c r="T27" s="68" t="str">
        <f t="shared" si="6"/>
        <v>-</v>
      </c>
      <c r="U27" s="41"/>
      <c r="V27" s="68" t="str">
        <f t="shared" si="7"/>
        <v>-</v>
      </c>
      <c r="W27" s="41"/>
      <c r="X27" s="68" t="str">
        <f t="shared" si="8"/>
        <v>-</v>
      </c>
      <c r="Y27" s="41"/>
      <c r="Z27" s="69" t="str">
        <f t="shared" si="9"/>
        <v>-</v>
      </c>
      <c r="AA27" s="13"/>
      <c r="AB27" s="85" t="str">
        <f t="shared" si="10"/>
        <v>-</v>
      </c>
      <c r="AC27" s="16"/>
      <c r="AD27" s="36" t="str">
        <f>IF(C27="","-", (VLOOKUP(C27, 'Attendance Sheet'!$C$7:$F$62,4,FALSE)))</f>
        <v>-</v>
      </c>
      <c r="AE27" s="18"/>
      <c r="AF27" s="89" t="str">
        <f>PRELIM!AF27</f>
        <v>-</v>
      </c>
      <c r="AG27" s="145" t="str">
        <f>IF(AB27 = "INC",
 "INC",
 IF(
  AB27 = "-",
  "-",
  VLOOKUP(AB27,'Grade Config'!$C$6:$D$37,2)
 )
)</f>
        <v>-</v>
      </c>
      <c r="AH27" s="92" t="str">
        <f t="shared" si="11"/>
        <v>-</v>
      </c>
      <c r="AI27" s="341"/>
      <c r="AJ27" s="342"/>
      <c r="AK27" s="14"/>
    </row>
    <row r="28" spans="2:37">
      <c r="B28" s="33">
        <v>12</v>
      </c>
      <c r="C28" s="57" t="str">
        <f>IF('Attendance Sheet'!C19 = "", "", 'Attendance Sheet'!C19)</f>
        <v/>
      </c>
      <c r="D28" s="57" t="str">
        <f>IF('Attendance Sheet'!D19 = "", "", 'Attendance Sheet'!D19)</f>
        <v/>
      </c>
      <c r="E28" s="61" t="str">
        <f>IF('Attendance Sheet'!E19 = "", "", 'Attendance Sheet'!E19)</f>
        <v/>
      </c>
      <c r="F28" s="19"/>
      <c r="G28" s="34"/>
      <c r="H28" s="68" t="str">
        <f t="shared" si="0"/>
        <v>-</v>
      </c>
      <c r="I28" s="41"/>
      <c r="J28" s="68" t="str">
        <f t="shared" si="1"/>
        <v>-</v>
      </c>
      <c r="K28" s="41"/>
      <c r="L28" s="68" t="str">
        <f t="shared" si="2"/>
        <v>-</v>
      </c>
      <c r="M28" s="41"/>
      <c r="N28" s="68" t="str">
        <f t="shared" si="3"/>
        <v>-</v>
      </c>
      <c r="O28" s="41"/>
      <c r="P28" s="68" t="str">
        <f t="shared" si="4"/>
        <v>-</v>
      </c>
      <c r="Q28" s="41"/>
      <c r="R28" s="68" t="str">
        <f t="shared" si="5"/>
        <v>-</v>
      </c>
      <c r="S28" s="41"/>
      <c r="T28" s="68" t="str">
        <f t="shared" si="6"/>
        <v>-</v>
      </c>
      <c r="U28" s="41"/>
      <c r="V28" s="68" t="str">
        <f t="shared" si="7"/>
        <v>-</v>
      </c>
      <c r="W28" s="41"/>
      <c r="X28" s="68" t="str">
        <f t="shared" si="8"/>
        <v>-</v>
      </c>
      <c r="Y28" s="41"/>
      <c r="Z28" s="69" t="str">
        <f t="shared" si="9"/>
        <v>-</v>
      </c>
      <c r="AA28" s="13"/>
      <c r="AB28" s="85" t="str">
        <f t="shared" si="10"/>
        <v>-</v>
      </c>
      <c r="AC28" s="16"/>
      <c r="AD28" s="36" t="str">
        <f>IF(C28="","-", (VLOOKUP(C28, 'Attendance Sheet'!$C$7:$F$62,4,FALSE)))</f>
        <v>-</v>
      </c>
      <c r="AE28" s="18"/>
      <c r="AF28" s="89" t="str">
        <f>PRELIM!AF28</f>
        <v>-</v>
      </c>
      <c r="AG28" s="145" t="str">
        <f>IF(AB28 = "INC",
 "INC",
 IF(
  AB28 = "-",
  "-",
  VLOOKUP(AB28,'Grade Config'!$C$6:$D$37,2)
 )
)</f>
        <v>-</v>
      </c>
      <c r="AH28" s="92" t="str">
        <f t="shared" si="11"/>
        <v>-</v>
      </c>
      <c r="AI28" s="341"/>
      <c r="AJ28" s="342"/>
      <c r="AK28" s="14"/>
    </row>
    <row r="29" spans="2:37">
      <c r="B29" s="33">
        <v>13</v>
      </c>
      <c r="C29" s="57" t="str">
        <f>IF('Attendance Sheet'!C20 = "", "", 'Attendance Sheet'!C20)</f>
        <v/>
      </c>
      <c r="D29" s="57" t="str">
        <f>IF('Attendance Sheet'!D20 = "", "", 'Attendance Sheet'!D20)</f>
        <v/>
      </c>
      <c r="E29" s="61" t="str">
        <f>IF('Attendance Sheet'!E20 = "", "", 'Attendance Sheet'!E20)</f>
        <v/>
      </c>
      <c r="F29" s="19"/>
      <c r="G29" s="34"/>
      <c r="H29" s="68" t="str">
        <f t="shared" si="0"/>
        <v>-</v>
      </c>
      <c r="I29" s="41"/>
      <c r="J29" s="68" t="str">
        <f t="shared" si="1"/>
        <v>-</v>
      </c>
      <c r="K29" s="41"/>
      <c r="L29" s="68" t="str">
        <f t="shared" si="2"/>
        <v>-</v>
      </c>
      <c r="M29" s="41"/>
      <c r="N29" s="68" t="str">
        <f t="shared" si="3"/>
        <v>-</v>
      </c>
      <c r="O29" s="41"/>
      <c r="P29" s="68" t="str">
        <f t="shared" si="4"/>
        <v>-</v>
      </c>
      <c r="Q29" s="41"/>
      <c r="R29" s="68" t="str">
        <f t="shared" si="5"/>
        <v>-</v>
      </c>
      <c r="S29" s="41"/>
      <c r="T29" s="68" t="str">
        <f t="shared" si="6"/>
        <v>-</v>
      </c>
      <c r="U29" s="41"/>
      <c r="V29" s="68" t="str">
        <f t="shared" si="7"/>
        <v>-</v>
      </c>
      <c r="W29" s="41"/>
      <c r="X29" s="68" t="str">
        <f t="shared" si="8"/>
        <v>-</v>
      </c>
      <c r="Y29" s="41"/>
      <c r="Z29" s="69" t="str">
        <f t="shared" si="9"/>
        <v>-</v>
      </c>
      <c r="AA29" s="13"/>
      <c r="AB29" s="85" t="str">
        <f t="shared" si="10"/>
        <v>-</v>
      </c>
      <c r="AC29" s="16"/>
      <c r="AD29" s="36" t="str">
        <f>IF(C29="","-", (VLOOKUP(C29, 'Attendance Sheet'!$C$7:$F$62,4,FALSE)))</f>
        <v>-</v>
      </c>
      <c r="AE29" s="18"/>
      <c r="AF29" s="89" t="str">
        <f>PRELIM!AF29</f>
        <v>-</v>
      </c>
      <c r="AG29" s="145" t="str">
        <f>IF(AB29 = "INC",
 "INC",
 IF(
  AB29 = "-",
  "-",
  VLOOKUP(AB29,'Grade Config'!$C$6:$D$37,2)
 )
)</f>
        <v>-</v>
      </c>
      <c r="AH29" s="92" t="str">
        <f t="shared" si="11"/>
        <v>-</v>
      </c>
      <c r="AI29" s="341"/>
      <c r="AJ29" s="342"/>
      <c r="AK29" s="14"/>
    </row>
    <row r="30" spans="2:37">
      <c r="B30" s="33">
        <v>14</v>
      </c>
      <c r="C30" s="57" t="str">
        <f>IF('Attendance Sheet'!C21 = "", "", 'Attendance Sheet'!C21)</f>
        <v/>
      </c>
      <c r="D30" s="57" t="str">
        <f>IF('Attendance Sheet'!D21 = "", "", 'Attendance Sheet'!D21)</f>
        <v/>
      </c>
      <c r="E30" s="61" t="str">
        <f>IF('Attendance Sheet'!E21 = "", "", 'Attendance Sheet'!E21)</f>
        <v/>
      </c>
      <c r="F30" s="19"/>
      <c r="G30" s="34"/>
      <c r="H30" s="68" t="str">
        <f t="shared" si="0"/>
        <v>-</v>
      </c>
      <c r="I30" s="41"/>
      <c r="J30" s="68" t="str">
        <f t="shared" si="1"/>
        <v>-</v>
      </c>
      <c r="K30" s="41"/>
      <c r="L30" s="68" t="str">
        <f t="shared" si="2"/>
        <v>-</v>
      </c>
      <c r="M30" s="41"/>
      <c r="N30" s="68" t="str">
        <f t="shared" si="3"/>
        <v>-</v>
      </c>
      <c r="O30" s="41"/>
      <c r="P30" s="68" t="str">
        <f t="shared" si="4"/>
        <v>-</v>
      </c>
      <c r="Q30" s="41"/>
      <c r="R30" s="68" t="str">
        <f t="shared" si="5"/>
        <v>-</v>
      </c>
      <c r="S30" s="41"/>
      <c r="T30" s="68" t="str">
        <f t="shared" si="6"/>
        <v>-</v>
      </c>
      <c r="U30" s="41"/>
      <c r="V30" s="68" t="str">
        <f t="shared" si="7"/>
        <v>-</v>
      </c>
      <c r="W30" s="41"/>
      <c r="X30" s="68" t="str">
        <f t="shared" si="8"/>
        <v>-</v>
      </c>
      <c r="Y30" s="41"/>
      <c r="Z30" s="69" t="str">
        <f t="shared" si="9"/>
        <v>-</v>
      </c>
      <c r="AA30" s="13"/>
      <c r="AB30" s="85" t="str">
        <f t="shared" si="10"/>
        <v>-</v>
      </c>
      <c r="AC30" s="16"/>
      <c r="AD30" s="36" t="str">
        <f>IF(C30="","-", (VLOOKUP(C30, 'Attendance Sheet'!$C$7:$F$62,4,FALSE)))</f>
        <v>-</v>
      </c>
      <c r="AE30" s="18"/>
      <c r="AF30" s="89" t="str">
        <f>PRELIM!AF30</f>
        <v>-</v>
      </c>
      <c r="AG30" s="145" t="str">
        <f>IF(AB30 = "INC",
 "INC",
 IF(
  AB30 = "-",
  "-",
  VLOOKUP(AB30,'Grade Config'!$C$6:$D$37,2)
 )
)</f>
        <v>-</v>
      </c>
      <c r="AH30" s="92" t="str">
        <f t="shared" si="11"/>
        <v>-</v>
      </c>
      <c r="AI30" s="341"/>
      <c r="AJ30" s="342"/>
      <c r="AK30" s="14"/>
    </row>
    <row r="31" spans="2:37">
      <c r="B31" s="33">
        <v>15</v>
      </c>
      <c r="C31" s="57" t="str">
        <f>IF('Attendance Sheet'!C22 = "", "", 'Attendance Sheet'!C22)</f>
        <v/>
      </c>
      <c r="D31" s="57" t="str">
        <f>IF('Attendance Sheet'!D22 = "", "", 'Attendance Sheet'!D22)</f>
        <v/>
      </c>
      <c r="E31" s="61" t="str">
        <f>IF('Attendance Sheet'!E22 = "", "", 'Attendance Sheet'!E22)</f>
        <v/>
      </c>
      <c r="F31" s="19"/>
      <c r="G31" s="34"/>
      <c r="H31" s="68" t="str">
        <f t="shared" si="0"/>
        <v>-</v>
      </c>
      <c r="I31" s="41"/>
      <c r="J31" s="68" t="str">
        <f t="shared" si="1"/>
        <v>-</v>
      </c>
      <c r="K31" s="41"/>
      <c r="L31" s="68" t="str">
        <f t="shared" si="2"/>
        <v>-</v>
      </c>
      <c r="M31" s="41"/>
      <c r="N31" s="68" t="str">
        <f t="shared" si="3"/>
        <v>-</v>
      </c>
      <c r="O31" s="41"/>
      <c r="P31" s="68" t="str">
        <f t="shared" si="4"/>
        <v>-</v>
      </c>
      <c r="Q31" s="41"/>
      <c r="R31" s="68" t="str">
        <f t="shared" si="5"/>
        <v>-</v>
      </c>
      <c r="S31" s="41"/>
      <c r="T31" s="68" t="str">
        <f t="shared" si="6"/>
        <v>-</v>
      </c>
      <c r="U31" s="41"/>
      <c r="V31" s="68" t="str">
        <f t="shared" si="7"/>
        <v>-</v>
      </c>
      <c r="W31" s="41"/>
      <c r="X31" s="68" t="str">
        <f t="shared" si="8"/>
        <v>-</v>
      </c>
      <c r="Y31" s="41"/>
      <c r="Z31" s="69" t="str">
        <f t="shared" si="9"/>
        <v>-</v>
      </c>
      <c r="AA31" s="13"/>
      <c r="AB31" s="85" t="str">
        <f t="shared" si="10"/>
        <v>-</v>
      </c>
      <c r="AC31" s="16"/>
      <c r="AD31" s="36" t="str">
        <f>IF(C31="","-", (VLOOKUP(C31, 'Attendance Sheet'!$C$7:$F$62,4,FALSE)))</f>
        <v>-</v>
      </c>
      <c r="AE31" s="18"/>
      <c r="AF31" s="89" t="str">
        <f>PRELIM!AF31</f>
        <v>-</v>
      </c>
      <c r="AG31" s="145" t="str">
        <f>IF(AB31 = "INC",
 "INC",
 IF(
  AB31 = "-",
  "-",
  VLOOKUP(AB31,'Grade Config'!$C$6:$D$37,2)
 )
)</f>
        <v>-</v>
      </c>
      <c r="AH31" s="92" t="str">
        <f t="shared" si="11"/>
        <v>-</v>
      </c>
      <c r="AI31" s="341"/>
      <c r="AJ31" s="342"/>
      <c r="AK31" s="14"/>
    </row>
    <row r="32" spans="2:37">
      <c r="B32" s="33">
        <v>16</v>
      </c>
      <c r="C32" s="57" t="str">
        <f>IF('Attendance Sheet'!C23 = "", "", 'Attendance Sheet'!C23)</f>
        <v/>
      </c>
      <c r="D32" s="57" t="str">
        <f>IF('Attendance Sheet'!D23 = "", "", 'Attendance Sheet'!D23)</f>
        <v/>
      </c>
      <c r="E32" s="61" t="str">
        <f>IF('Attendance Sheet'!E23 = "", "", 'Attendance Sheet'!E23)</f>
        <v/>
      </c>
      <c r="F32" s="19"/>
      <c r="G32" s="34"/>
      <c r="H32" s="68" t="str">
        <f t="shared" si="0"/>
        <v>-</v>
      </c>
      <c r="I32" s="41"/>
      <c r="J32" s="68" t="str">
        <f t="shared" si="1"/>
        <v>-</v>
      </c>
      <c r="K32" s="41"/>
      <c r="L32" s="68" t="str">
        <f t="shared" si="2"/>
        <v>-</v>
      </c>
      <c r="M32" s="41"/>
      <c r="N32" s="68" t="str">
        <f t="shared" si="3"/>
        <v>-</v>
      </c>
      <c r="O32" s="41"/>
      <c r="P32" s="68" t="str">
        <f t="shared" si="4"/>
        <v>-</v>
      </c>
      <c r="Q32" s="41"/>
      <c r="R32" s="68" t="str">
        <f t="shared" si="5"/>
        <v>-</v>
      </c>
      <c r="S32" s="41"/>
      <c r="T32" s="68" t="str">
        <f t="shared" si="6"/>
        <v>-</v>
      </c>
      <c r="U32" s="41"/>
      <c r="V32" s="68" t="str">
        <f t="shared" si="7"/>
        <v>-</v>
      </c>
      <c r="W32" s="41"/>
      <c r="X32" s="68" t="str">
        <f t="shared" si="8"/>
        <v>-</v>
      </c>
      <c r="Y32" s="41"/>
      <c r="Z32" s="69" t="str">
        <f t="shared" si="9"/>
        <v>-</v>
      </c>
      <c r="AA32" s="13"/>
      <c r="AB32" s="85" t="str">
        <f t="shared" si="10"/>
        <v>-</v>
      </c>
      <c r="AC32" s="16"/>
      <c r="AD32" s="36" t="str">
        <f>IF(C32="","-", (VLOOKUP(C32, 'Attendance Sheet'!$C$7:$F$62,4,FALSE)))</f>
        <v>-</v>
      </c>
      <c r="AE32" s="18"/>
      <c r="AF32" s="89" t="str">
        <f>PRELIM!AF32</f>
        <v>-</v>
      </c>
      <c r="AG32" s="145" t="str">
        <f>IF(AB32 = "INC",
 "INC",
 IF(
  AB32 = "-",
  "-",
  VLOOKUP(AB32,'Grade Config'!$C$6:$D$37,2)
 )
)</f>
        <v>-</v>
      </c>
      <c r="AH32" s="92" t="str">
        <f t="shared" si="11"/>
        <v>-</v>
      </c>
      <c r="AI32" s="341"/>
      <c r="AJ32" s="342"/>
      <c r="AK32" s="28"/>
    </row>
    <row r="33" spans="2:37">
      <c r="B33" s="33">
        <v>17</v>
      </c>
      <c r="C33" s="57" t="str">
        <f>IF('Attendance Sheet'!C24 = "", "", 'Attendance Sheet'!C24)</f>
        <v/>
      </c>
      <c r="D33" s="57" t="str">
        <f>IF('Attendance Sheet'!D24 = "", "", 'Attendance Sheet'!D24)</f>
        <v/>
      </c>
      <c r="E33" s="61" t="str">
        <f>IF('Attendance Sheet'!E24 = "", "", 'Attendance Sheet'!E24)</f>
        <v/>
      </c>
      <c r="F33" s="19"/>
      <c r="G33" s="34"/>
      <c r="H33" s="68" t="str">
        <f t="shared" si="0"/>
        <v>-</v>
      </c>
      <c r="I33" s="41"/>
      <c r="J33" s="68" t="str">
        <f t="shared" si="1"/>
        <v>-</v>
      </c>
      <c r="K33" s="41"/>
      <c r="L33" s="68" t="str">
        <f t="shared" si="2"/>
        <v>-</v>
      </c>
      <c r="M33" s="41"/>
      <c r="N33" s="68" t="str">
        <f t="shared" si="3"/>
        <v>-</v>
      </c>
      <c r="O33" s="41"/>
      <c r="P33" s="68" t="str">
        <f t="shared" si="4"/>
        <v>-</v>
      </c>
      <c r="Q33" s="41"/>
      <c r="R33" s="68" t="str">
        <f t="shared" si="5"/>
        <v>-</v>
      </c>
      <c r="S33" s="41"/>
      <c r="T33" s="68" t="str">
        <f t="shared" si="6"/>
        <v>-</v>
      </c>
      <c r="U33" s="41"/>
      <c r="V33" s="68" t="str">
        <f t="shared" si="7"/>
        <v>-</v>
      </c>
      <c r="W33" s="41"/>
      <c r="X33" s="68" t="str">
        <f t="shared" si="8"/>
        <v>-</v>
      </c>
      <c r="Y33" s="41"/>
      <c r="Z33" s="69" t="str">
        <f t="shared" si="9"/>
        <v>-</v>
      </c>
      <c r="AA33" s="13"/>
      <c r="AB33" s="85" t="str">
        <f t="shared" si="10"/>
        <v>-</v>
      </c>
      <c r="AC33" s="16"/>
      <c r="AD33" s="36" t="str">
        <f>IF(C33="","-", (VLOOKUP(C33, 'Attendance Sheet'!$C$7:$F$62,4,FALSE)))</f>
        <v>-</v>
      </c>
      <c r="AE33" s="18"/>
      <c r="AF33" s="89" t="str">
        <f>PRELIM!AF33</f>
        <v>-</v>
      </c>
      <c r="AG33" s="145" t="str">
        <f>IF(AB33 = "INC",
 "INC",
 IF(
  AB33 = "-",
  "-",
  VLOOKUP(AB33,'Grade Config'!$C$6:$D$37,2)
 )
)</f>
        <v>-</v>
      </c>
      <c r="AH33" s="92" t="str">
        <f t="shared" si="11"/>
        <v>-</v>
      </c>
      <c r="AI33" s="341"/>
      <c r="AJ33" s="342"/>
      <c r="AK33" s="14"/>
    </row>
    <row r="34" spans="2:37">
      <c r="B34" s="33">
        <v>18</v>
      </c>
      <c r="C34" s="57" t="str">
        <f>IF('Attendance Sheet'!C25 = "", "", 'Attendance Sheet'!C25)</f>
        <v/>
      </c>
      <c r="D34" s="57" t="str">
        <f>IF('Attendance Sheet'!D25 = "", "", 'Attendance Sheet'!D25)</f>
        <v/>
      </c>
      <c r="E34" s="61" t="str">
        <f>IF('Attendance Sheet'!E25 = "", "", 'Attendance Sheet'!E25)</f>
        <v/>
      </c>
      <c r="F34" s="19"/>
      <c r="G34" s="34"/>
      <c r="H34" s="68" t="str">
        <f t="shared" si="0"/>
        <v>-</v>
      </c>
      <c r="I34" s="41"/>
      <c r="J34" s="68" t="str">
        <f t="shared" si="1"/>
        <v>-</v>
      </c>
      <c r="K34" s="41"/>
      <c r="L34" s="68" t="str">
        <f t="shared" si="2"/>
        <v>-</v>
      </c>
      <c r="M34" s="41"/>
      <c r="N34" s="68" t="str">
        <f t="shared" si="3"/>
        <v>-</v>
      </c>
      <c r="O34" s="41"/>
      <c r="P34" s="68" t="str">
        <f t="shared" si="4"/>
        <v>-</v>
      </c>
      <c r="Q34" s="41"/>
      <c r="R34" s="68" t="str">
        <f t="shared" si="5"/>
        <v>-</v>
      </c>
      <c r="S34" s="41"/>
      <c r="T34" s="68" t="str">
        <f t="shared" si="6"/>
        <v>-</v>
      </c>
      <c r="U34" s="41"/>
      <c r="V34" s="68" t="str">
        <f t="shared" si="7"/>
        <v>-</v>
      </c>
      <c r="W34" s="41"/>
      <c r="X34" s="68" t="str">
        <f t="shared" si="8"/>
        <v>-</v>
      </c>
      <c r="Y34" s="41"/>
      <c r="Z34" s="69" t="str">
        <f t="shared" si="9"/>
        <v>-</v>
      </c>
      <c r="AA34" s="13"/>
      <c r="AB34" s="85" t="str">
        <f t="shared" si="10"/>
        <v>-</v>
      </c>
      <c r="AC34" s="16"/>
      <c r="AD34" s="36" t="str">
        <f>IF(C34="","-", (VLOOKUP(C34, 'Attendance Sheet'!$C$7:$F$62,4,FALSE)))</f>
        <v>-</v>
      </c>
      <c r="AE34" s="18"/>
      <c r="AF34" s="89" t="str">
        <f>PRELIM!AF34</f>
        <v>-</v>
      </c>
      <c r="AG34" s="145" t="str">
        <f>IF(AB34 = "INC",
 "INC",
 IF(
  AB34 = "-",
  "-",
  VLOOKUP(AB34,'Grade Config'!$C$6:$D$37,2)
 )
)</f>
        <v>-</v>
      </c>
      <c r="AH34" s="92" t="str">
        <f t="shared" si="11"/>
        <v>-</v>
      </c>
      <c r="AI34" s="341"/>
      <c r="AJ34" s="342"/>
      <c r="AK34" s="14"/>
    </row>
    <row r="35" spans="2:37">
      <c r="B35" s="33">
        <v>19</v>
      </c>
      <c r="C35" s="57" t="str">
        <f>IF('Attendance Sheet'!C26 = "", "", 'Attendance Sheet'!C26)</f>
        <v/>
      </c>
      <c r="D35" s="57" t="str">
        <f>IF('Attendance Sheet'!D26 = "", "", 'Attendance Sheet'!D26)</f>
        <v/>
      </c>
      <c r="E35" s="61" t="str">
        <f>IF('Attendance Sheet'!E26 = "", "", 'Attendance Sheet'!E26)</f>
        <v/>
      </c>
      <c r="F35" s="19"/>
      <c r="G35" s="34"/>
      <c r="H35" s="68" t="str">
        <f t="shared" si="0"/>
        <v>-</v>
      </c>
      <c r="I35" s="41"/>
      <c r="J35" s="68" t="str">
        <f t="shared" si="1"/>
        <v>-</v>
      </c>
      <c r="K35" s="41"/>
      <c r="L35" s="68" t="str">
        <f t="shared" si="2"/>
        <v>-</v>
      </c>
      <c r="M35" s="41"/>
      <c r="N35" s="68" t="str">
        <f t="shared" si="3"/>
        <v>-</v>
      </c>
      <c r="O35" s="41"/>
      <c r="P35" s="68" t="str">
        <f t="shared" si="4"/>
        <v>-</v>
      </c>
      <c r="Q35" s="41"/>
      <c r="R35" s="68" t="str">
        <f t="shared" si="5"/>
        <v>-</v>
      </c>
      <c r="S35" s="41"/>
      <c r="T35" s="68" t="str">
        <f t="shared" si="6"/>
        <v>-</v>
      </c>
      <c r="U35" s="41"/>
      <c r="V35" s="68" t="str">
        <f t="shared" si="7"/>
        <v>-</v>
      </c>
      <c r="W35" s="41"/>
      <c r="X35" s="68" t="str">
        <f t="shared" si="8"/>
        <v>-</v>
      </c>
      <c r="Y35" s="41"/>
      <c r="Z35" s="69" t="str">
        <f t="shared" si="9"/>
        <v>-</v>
      </c>
      <c r="AA35" s="13"/>
      <c r="AB35" s="85" t="str">
        <f t="shared" si="10"/>
        <v>-</v>
      </c>
      <c r="AC35" s="16"/>
      <c r="AD35" s="36" t="str">
        <f>IF(C35="","-", (VLOOKUP(C35, 'Attendance Sheet'!$C$7:$F$62,4,FALSE)))</f>
        <v>-</v>
      </c>
      <c r="AE35" s="18"/>
      <c r="AF35" s="89" t="str">
        <f>PRELIM!AF35</f>
        <v>-</v>
      </c>
      <c r="AG35" s="145" t="str">
        <f>IF(AB35 = "INC",
 "INC",
 IF(
  AB35 = "-",
  "-",
  VLOOKUP(AB35,'Grade Config'!$C$6:$D$37,2)
 )
)</f>
        <v>-</v>
      </c>
      <c r="AH35" s="92" t="str">
        <f t="shared" si="11"/>
        <v>-</v>
      </c>
      <c r="AI35" s="341"/>
      <c r="AJ35" s="342"/>
      <c r="AK35" s="14"/>
    </row>
    <row r="36" spans="2:37">
      <c r="B36" s="33">
        <v>20</v>
      </c>
      <c r="C36" s="57" t="str">
        <f>IF('Attendance Sheet'!C27 = "", "", 'Attendance Sheet'!C27)</f>
        <v/>
      </c>
      <c r="D36" s="57" t="str">
        <f>IF('Attendance Sheet'!D27 = "", "", 'Attendance Sheet'!D27)</f>
        <v/>
      </c>
      <c r="E36" s="61" t="str">
        <f>IF('Attendance Sheet'!E27 = "", "", 'Attendance Sheet'!E27)</f>
        <v/>
      </c>
      <c r="F36" s="19"/>
      <c r="G36" s="34"/>
      <c r="H36" s="68" t="str">
        <f t="shared" si="0"/>
        <v>-</v>
      </c>
      <c r="I36" s="41"/>
      <c r="J36" s="68" t="str">
        <f t="shared" si="1"/>
        <v>-</v>
      </c>
      <c r="K36" s="41"/>
      <c r="L36" s="68" t="str">
        <f t="shared" si="2"/>
        <v>-</v>
      </c>
      <c r="M36" s="41"/>
      <c r="N36" s="68" t="str">
        <f t="shared" si="3"/>
        <v>-</v>
      </c>
      <c r="O36" s="41"/>
      <c r="P36" s="68" t="str">
        <f t="shared" si="4"/>
        <v>-</v>
      </c>
      <c r="Q36" s="41"/>
      <c r="R36" s="68" t="str">
        <f t="shared" si="5"/>
        <v>-</v>
      </c>
      <c r="S36" s="41"/>
      <c r="T36" s="68" t="str">
        <f t="shared" si="6"/>
        <v>-</v>
      </c>
      <c r="U36" s="41"/>
      <c r="V36" s="68" t="str">
        <f t="shared" si="7"/>
        <v>-</v>
      </c>
      <c r="W36" s="41"/>
      <c r="X36" s="68" t="str">
        <f t="shared" si="8"/>
        <v>-</v>
      </c>
      <c r="Y36" s="41"/>
      <c r="Z36" s="69" t="str">
        <f t="shared" si="9"/>
        <v>-</v>
      </c>
      <c r="AA36" s="13"/>
      <c r="AB36" s="85" t="str">
        <f t="shared" si="10"/>
        <v>-</v>
      </c>
      <c r="AC36" s="16"/>
      <c r="AD36" s="36" t="str">
        <f>IF(C36="","-", (VLOOKUP(C36, 'Attendance Sheet'!$C$7:$F$62,4,FALSE)))</f>
        <v>-</v>
      </c>
      <c r="AE36" s="18"/>
      <c r="AF36" s="89" t="str">
        <f>PRELIM!AF36</f>
        <v>-</v>
      </c>
      <c r="AG36" s="145" t="str">
        <f>IF(AB36 = "INC",
 "INC",
 IF(
  AB36 = "-",
  "-",
  VLOOKUP(AB36,'Grade Config'!$C$6:$D$37,2)
 )
)</f>
        <v>-</v>
      </c>
      <c r="AH36" s="92" t="str">
        <f t="shared" si="11"/>
        <v>-</v>
      </c>
      <c r="AI36" s="341"/>
      <c r="AJ36" s="342"/>
      <c r="AK36" s="14"/>
    </row>
    <row r="37" spans="2:37">
      <c r="B37" s="33">
        <v>21</v>
      </c>
      <c r="C37" s="57" t="str">
        <f>IF('Attendance Sheet'!C28 = "", "", 'Attendance Sheet'!C28)</f>
        <v/>
      </c>
      <c r="D37" s="57" t="str">
        <f>IF('Attendance Sheet'!D28 = "", "", 'Attendance Sheet'!D28)</f>
        <v/>
      </c>
      <c r="E37" s="61" t="str">
        <f>IF('Attendance Sheet'!E28 = "", "", 'Attendance Sheet'!E28)</f>
        <v/>
      </c>
      <c r="F37" s="19"/>
      <c r="G37" s="34"/>
      <c r="H37" s="68" t="str">
        <f t="shared" si="0"/>
        <v>-</v>
      </c>
      <c r="I37" s="41"/>
      <c r="J37" s="68" t="str">
        <f t="shared" si="1"/>
        <v>-</v>
      </c>
      <c r="K37" s="41"/>
      <c r="L37" s="68" t="str">
        <f t="shared" si="2"/>
        <v>-</v>
      </c>
      <c r="M37" s="41"/>
      <c r="N37" s="68" t="str">
        <f t="shared" si="3"/>
        <v>-</v>
      </c>
      <c r="O37" s="41"/>
      <c r="P37" s="68" t="str">
        <f t="shared" si="4"/>
        <v>-</v>
      </c>
      <c r="Q37" s="41"/>
      <c r="R37" s="68" t="str">
        <f t="shared" si="5"/>
        <v>-</v>
      </c>
      <c r="S37" s="41"/>
      <c r="T37" s="68" t="str">
        <f t="shared" si="6"/>
        <v>-</v>
      </c>
      <c r="U37" s="41"/>
      <c r="V37" s="68" t="str">
        <f t="shared" si="7"/>
        <v>-</v>
      </c>
      <c r="W37" s="41"/>
      <c r="X37" s="68" t="str">
        <f t="shared" si="8"/>
        <v>-</v>
      </c>
      <c r="Y37" s="41"/>
      <c r="Z37" s="69" t="str">
        <f t="shared" si="9"/>
        <v>-</v>
      </c>
      <c r="AA37" s="13"/>
      <c r="AB37" s="85" t="str">
        <f t="shared" si="10"/>
        <v>-</v>
      </c>
      <c r="AC37" s="16"/>
      <c r="AD37" s="36" t="str">
        <f>IF(C37="","-", (VLOOKUP(C37, 'Attendance Sheet'!$C$7:$F$62,4,FALSE)))</f>
        <v>-</v>
      </c>
      <c r="AE37" s="18"/>
      <c r="AF37" s="89" t="str">
        <f>PRELIM!AF37</f>
        <v>-</v>
      </c>
      <c r="AG37" s="145" t="str">
        <f>IF(AB37 = "INC",
 "INC",
 IF(
  AB37 = "-",
  "-",
  VLOOKUP(AB37,'Grade Config'!$C$6:$D$37,2)
 )
)</f>
        <v>-</v>
      </c>
      <c r="AH37" s="92" t="str">
        <f t="shared" si="11"/>
        <v>-</v>
      </c>
      <c r="AI37" s="341"/>
      <c r="AJ37" s="342"/>
      <c r="AK37" s="14"/>
    </row>
    <row r="38" spans="2:37">
      <c r="B38" s="33">
        <v>22</v>
      </c>
      <c r="C38" s="57" t="str">
        <f>IF('Attendance Sheet'!C29 = "", "", 'Attendance Sheet'!C29)</f>
        <v/>
      </c>
      <c r="D38" s="57" t="str">
        <f>IF('Attendance Sheet'!D29 = "", "", 'Attendance Sheet'!D29)</f>
        <v/>
      </c>
      <c r="E38" s="61" t="str">
        <f>IF('Attendance Sheet'!E29 = "", "", 'Attendance Sheet'!E29)</f>
        <v/>
      </c>
      <c r="F38" s="19"/>
      <c r="G38" s="34"/>
      <c r="H38" s="68" t="str">
        <f t="shared" si="0"/>
        <v>-</v>
      </c>
      <c r="I38" s="41"/>
      <c r="J38" s="68" t="str">
        <f t="shared" si="1"/>
        <v>-</v>
      </c>
      <c r="K38" s="41"/>
      <c r="L38" s="68" t="str">
        <f t="shared" si="2"/>
        <v>-</v>
      </c>
      <c r="M38" s="41"/>
      <c r="N38" s="68" t="str">
        <f t="shared" si="3"/>
        <v>-</v>
      </c>
      <c r="O38" s="41"/>
      <c r="P38" s="68" t="str">
        <f t="shared" si="4"/>
        <v>-</v>
      </c>
      <c r="Q38" s="41"/>
      <c r="R38" s="68" t="str">
        <f t="shared" si="5"/>
        <v>-</v>
      </c>
      <c r="S38" s="41"/>
      <c r="T38" s="68" t="str">
        <f t="shared" si="6"/>
        <v>-</v>
      </c>
      <c r="U38" s="41"/>
      <c r="V38" s="68" t="str">
        <f t="shared" si="7"/>
        <v>-</v>
      </c>
      <c r="W38" s="41"/>
      <c r="X38" s="68" t="str">
        <f t="shared" si="8"/>
        <v>-</v>
      </c>
      <c r="Y38" s="41"/>
      <c r="Z38" s="69" t="str">
        <f t="shared" si="9"/>
        <v>-</v>
      </c>
      <c r="AA38" s="13"/>
      <c r="AB38" s="85" t="str">
        <f t="shared" si="10"/>
        <v>-</v>
      </c>
      <c r="AC38" s="16"/>
      <c r="AD38" s="36" t="str">
        <f>IF(C38="","-", (VLOOKUP(C38, 'Attendance Sheet'!$C$7:$F$62,4,FALSE)))</f>
        <v>-</v>
      </c>
      <c r="AE38" s="18"/>
      <c r="AF38" s="89" t="str">
        <f>PRELIM!AF38</f>
        <v>-</v>
      </c>
      <c r="AG38" s="145" t="str">
        <f>IF(AB38 = "INC",
 "INC",
 IF(
  AB38 = "-",
  "-",
  VLOOKUP(AB38,'Grade Config'!$C$6:$D$37,2)
 )
)</f>
        <v>-</v>
      </c>
      <c r="AH38" s="92" t="str">
        <f t="shared" si="11"/>
        <v>-</v>
      </c>
      <c r="AI38" s="341"/>
      <c r="AJ38" s="342"/>
      <c r="AK38" s="14"/>
    </row>
    <row r="39" spans="2:37">
      <c r="B39" s="33">
        <v>23</v>
      </c>
      <c r="C39" s="57" t="str">
        <f>IF('Attendance Sheet'!C30 = "", "", 'Attendance Sheet'!C30)</f>
        <v/>
      </c>
      <c r="D39" s="57" t="str">
        <f>IF('Attendance Sheet'!D30 = "", "", 'Attendance Sheet'!D30)</f>
        <v/>
      </c>
      <c r="E39" s="61" t="str">
        <f>IF('Attendance Sheet'!E30 = "", "", 'Attendance Sheet'!E30)</f>
        <v/>
      </c>
      <c r="F39" s="19"/>
      <c r="G39" s="34"/>
      <c r="H39" s="68" t="str">
        <f t="shared" si="0"/>
        <v>-</v>
      </c>
      <c r="I39" s="41"/>
      <c r="J39" s="68" t="str">
        <f t="shared" si="1"/>
        <v>-</v>
      </c>
      <c r="K39" s="41"/>
      <c r="L39" s="68" t="str">
        <f t="shared" si="2"/>
        <v>-</v>
      </c>
      <c r="M39" s="41"/>
      <c r="N39" s="68" t="str">
        <f t="shared" si="3"/>
        <v>-</v>
      </c>
      <c r="O39" s="41"/>
      <c r="P39" s="68" t="str">
        <f t="shared" si="4"/>
        <v>-</v>
      </c>
      <c r="Q39" s="41"/>
      <c r="R39" s="68" t="str">
        <f t="shared" si="5"/>
        <v>-</v>
      </c>
      <c r="S39" s="41"/>
      <c r="T39" s="68" t="str">
        <f t="shared" si="6"/>
        <v>-</v>
      </c>
      <c r="U39" s="41"/>
      <c r="V39" s="68" t="str">
        <f t="shared" si="7"/>
        <v>-</v>
      </c>
      <c r="W39" s="41"/>
      <c r="X39" s="68" t="str">
        <f t="shared" si="8"/>
        <v>-</v>
      </c>
      <c r="Y39" s="41"/>
      <c r="Z39" s="69" t="str">
        <f t="shared" si="9"/>
        <v>-</v>
      </c>
      <c r="AA39" s="13"/>
      <c r="AB39" s="85" t="str">
        <f t="shared" si="10"/>
        <v>-</v>
      </c>
      <c r="AC39" s="16"/>
      <c r="AD39" s="36" t="str">
        <f>IF(C39="","-", (VLOOKUP(C39, 'Attendance Sheet'!$C$7:$F$62,4,FALSE)))</f>
        <v>-</v>
      </c>
      <c r="AE39" s="18"/>
      <c r="AF39" s="89" t="str">
        <f>PRELIM!AF39</f>
        <v>-</v>
      </c>
      <c r="AG39" s="145" t="str">
        <f>IF(AB39 = "INC",
 "INC",
 IF(
  AB39 = "-",
  "-",
  VLOOKUP(AB39,'Grade Config'!$C$6:$D$37,2)
 )
)</f>
        <v>-</v>
      </c>
      <c r="AH39" s="92" t="str">
        <f t="shared" si="11"/>
        <v>-</v>
      </c>
      <c r="AI39" s="341"/>
      <c r="AJ39" s="342"/>
      <c r="AK39" s="14"/>
    </row>
    <row r="40" spans="2:37">
      <c r="B40" s="33">
        <v>24</v>
      </c>
      <c r="C40" s="57" t="str">
        <f>IF('Attendance Sheet'!C31 = "", "", 'Attendance Sheet'!C31)</f>
        <v/>
      </c>
      <c r="D40" s="57" t="str">
        <f>IF('Attendance Sheet'!D31 = "", "", 'Attendance Sheet'!D31)</f>
        <v/>
      </c>
      <c r="E40" s="61" t="str">
        <f>IF('Attendance Sheet'!E31 = "", "", 'Attendance Sheet'!E31)</f>
        <v/>
      </c>
      <c r="F40" s="19"/>
      <c r="G40" s="34"/>
      <c r="H40" s="68" t="str">
        <f t="shared" si="0"/>
        <v>-</v>
      </c>
      <c r="I40" s="41"/>
      <c r="J40" s="68" t="str">
        <f t="shared" si="1"/>
        <v>-</v>
      </c>
      <c r="K40" s="41"/>
      <c r="L40" s="68" t="str">
        <f t="shared" si="2"/>
        <v>-</v>
      </c>
      <c r="M40" s="41"/>
      <c r="N40" s="68" t="str">
        <f t="shared" si="3"/>
        <v>-</v>
      </c>
      <c r="O40" s="41"/>
      <c r="P40" s="68" t="str">
        <f t="shared" si="4"/>
        <v>-</v>
      </c>
      <c r="Q40" s="41"/>
      <c r="R40" s="68" t="str">
        <f t="shared" si="5"/>
        <v>-</v>
      </c>
      <c r="S40" s="41"/>
      <c r="T40" s="68" t="str">
        <f t="shared" si="6"/>
        <v>-</v>
      </c>
      <c r="U40" s="41"/>
      <c r="V40" s="68" t="str">
        <f t="shared" si="7"/>
        <v>-</v>
      </c>
      <c r="W40" s="41"/>
      <c r="X40" s="68" t="str">
        <f t="shared" si="8"/>
        <v>-</v>
      </c>
      <c r="Y40" s="41"/>
      <c r="Z40" s="69" t="str">
        <f t="shared" si="9"/>
        <v>-</v>
      </c>
      <c r="AA40" s="13"/>
      <c r="AB40" s="85" t="str">
        <f t="shared" si="10"/>
        <v>-</v>
      </c>
      <c r="AC40" s="16"/>
      <c r="AD40" s="36" t="str">
        <f>IF(C40="","-", (VLOOKUP(C40, 'Attendance Sheet'!$C$7:$F$62,4,FALSE)))</f>
        <v>-</v>
      </c>
      <c r="AE40" s="18"/>
      <c r="AF40" s="89" t="str">
        <f>PRELIM!AF40</f>
        <v>-</v>
      </c>
      <c r="AG40" s="145" t="str">
        <f>IF(AB40 = "INC",
 "INC",
 IF(
  AB40 = "-",
  "-",
  VLOOKUP(AB40,'Grade Config'!$C$6:$D$37,2)
 )
)</f>
        <v>-</v>
      </c>
      <c r="AH40" s="92" t="str">
        <f t="shared" si="11"/>
        <v>-</v>
      </c>
      <c r="AI40" s="341"/>
      <c r="AJ40" s="342"/>
      <c r="AK40" s="14"/>
    </row>
    <row r="41" spans="2:37">
      <c r="B41" s="33">
        <v>25</v>
      </c>
      <c r="C41" s="57" t="str">
        <f>IF('Attendance Sheet'!C32 = "", "", 'Attendance Sheet'!C32)</f>
        <v/>
      </c>
      <c r="D41" s="57" t="str">
        <f>IF('Attendance Sheet'!D32 = "", "", 'Attendance Sheet'!D32)</f>
        <v/>
      </c>
      <c r="E41" s="61" t="str">
        <f>IF('Attendance Sheet'!E32 = "", "", 'Attendance Sheet'!E32)</f>
        <v/>
      </c>
      <c r="F41" s="19"/>
      <c r="G41" s="34"/>
      <c r="H41" s="68" t="str">
        <f t="shared" si="0"/>
        <v>-</v>
      </c>
      <c r="I41" s="41"/>
      <c r="J41" s="68" t="str">
        <f t="shared" si="1"/>
        <v>-</v>
      </c>
      <c r="K41" s="41"/>
      <c r="L41" s="68" t="str">
        <f t="shared" si="2"/>
        <v>-</v>
      </c>
      <c r="M41" s="41"/>
      <c r="N41" s="68" t="str">
        <f t="shared" si="3"/>
        <v>-</v>
      </c>
      <c r="O41" s="41"/>
      <c r="P41" s="68" t="str">
        <f t="shared" si="4"/>
        <v>-</v>
      </c>
      <c r="Q41" s="41"/>
      <c r="R41" s="68" t="str">
        <f t="shared" si="5"/>
        <v>-</v>
      </c>
      <c r="S41" s="41"/>
      <c r="T41" s="68" t="str">
        <f t="shared" si="6"/>
        <v>-</v>
      </c>
      <c r="U41" s="41"/>
      <c r="V41" s="68" t="str">
        <f t="shared" si="7"/>
        <v>-</v>
      </c>
      <c r="W41" s="41"/>
      <c r="X41" s="68" t="str">
        <f t="shared" si="8"/>
        <v>-</v>
      </c>
      <c r="Y41" s="41"/>
      <c r="Z41" s="69" t="str">
        <f t="shared" si="9"/>
        <v>-</v>
      </c>
      <c r="AA41" s="13"/>
      <c r="AB41" s="85" t="str">
        <f t="shared" si="10"/>
        <v>-</v>
      </c>
      <c r="AC41" s="16"/>
      <c r="AD41" s="36" t="str">
        <f>IF(C41="","-", (VLOOKUP(C41, 'Attendance Sheet'!$C$7:$F$62,4,FALSE)))</f>
        <v>-</v>
      </c>
      <c r="AE41" s="18"/>
      <c r="AF41" s="89" t="str">
        <f>PRELIM!AF41</f>
        <v>-</v>
      </c>
      <c r="AG41" s="145" t="str">
        <f>IF(AB41 = "INC",
 "INC",
 IF(
  AB41 = "-",
  "-",
  VLOOKUP(AB41,'Grade Config'!$C$6:$D$37,2)
 )
)</f>
        <v>-</v>
      </c>
      <c r="AH41" s="92" t="str">
        <f t="shared" si="11"/>
        <v>-</v>
      </c>
      <c r="AI41" s="341"/>
      <c r="AJ41" s="342"/>
      <c r="AK41" s="14"/>
    </row>
    <row r="42" spans="2:37">
      <c r="B42" s="33">
        <v>26</v>
      </c>
      <c r="C42" s="57" t="str">
        <f>IF('Attendance Sheet'!C33 = "", "", 'Attendance Sheet'!C33)</f>
        <v/>
      </c>
      <c r="D42" s="57" t="str">
        <f>IF('Attendance Sheet'!D33 = "", "", 'Attendance Sheet'!D33)</f>
        <v/>
      </c>
      <c r="E42" s="61" t="str">
        <f>IF('Attendance Sheet'!E33 = "", "", 'Attendance Sheet'!E33)</f>
        <v/>
      </c>
      <c r="F42" s="19"/>
      <c r="G42" s="34"/>
      <c r="H42" s="68" t="str">
        <f t="shared" si="0"/>
        <v>-</v>
      </c>
      <c r="I42" s="41"/>
      <c r="J42" s="68" t="str">
        <f t="shared" si="1"/>
        <v>-</v>
      </c>
      <c r="K42" s="41"/>
      <c r="L42" s="68" t="str">
        <f t="shared" si="2"/>
        <v>-</v>
      </c>
      <c r="M42" s="41"/>
      <c r="N42" s="68" t="str">
        <f t="shared" si="3"/>
        <v>-</v>
      </c>
      <c r="O42" s="41"/>
      <c r="P42" s="68" t="str">
        <f t="shared" si="4"/>
        <v>-</v>
      </c>
      <c r="Q42" s="41"/>
      <c r="R42" s="68" t="str">
        <f t="shared" si="5"/>
        <v>-</v>
      </c>
      <c r="S42" s="41"/>
      <c r="T42" s="68" t="str">
        <f t="shared" si="6"/>
        <v>-</v>
      </c>
      <c r="U42" s="41"/>
      <c r="V42" s="68" t="str">
        <f t="shared" si="7"/>
        <v>-</v>
      </c>
      <c r="W42" s="41"/>
      <c r="X42" s="68" t="str">
        <f t="shared" si="8"/>
        <v>-</v>
      </c>
      <c r="Y42" s="41"/>
      <c r="Z42" s="69" t="str">
        <f t="shared" si="9"/>
        <v>-</v>
      </c>
      <c r="AA42" s="13"/>
      <c r="AB42" s="85" t="str">
        <f t="shared" si="10"/>
        <v>-</v>
      </c>
      <c r="AC42" s="16"/>
      <c r="AD42" s="36" t="str">
        <f>IF(C42="","-", (VLOOKUP(C42, 'Attendance Sheet'!$C$7:$F$62,4,FALSE)))</f>
        <v>-</v>
      </c>
      <c r="AE42" s="18"/>
      <c r="AF42" s="89" t="str">
        <f>PRELIM!AF42</f>
        <v>-</v>
      </c>
      <c r="AG42" s="145" t="str">
        <f>IF(AB42 = "INC",
 "INC",
 IF(
  AB42 = "-",
  "-",
  VLOOKUP(AB42,'Grade Config'!$C$6:$D$37,2)
 )
)</f>
        <v>-</v>
      </c>
      <c r="AH42" s="92" t="str">
        <f t="shared" si="11"/>
        <v>-</v>
      </c>
      <c r="AI42" s="341"/>
      <c r="AJ42" s="342"/>
      <c r="AK42" s="14"/>
    </row>
    <row r="43" spans="2:37">
      <c r="B43" s="33">
        <v>27</v>
      </c>
      <c r="C43" s="57" t="str">
        <f>IF('Attendance Sheet'!C34 = "", "", 'Attendance Sheet'!C34)</f>
        <v/>
      </c>
      <c r="D43" s="57" t="str">
        <f>IF('Attendance Sheet'!D34 = "", "", 'Attendance Sheet'!D34)</f>
        <v/>
      </c>
      <c r="E43" s="61" t="str">
        <f>IF('Attendance Sheet'!E34 = "", "", 'Attendance Sheet'!E34)</f>
        <v/>
      </c>
      <c r="F43" s="19"/>
      <c r="G43" s="34"/>
      <c r="H43" s="68" t="str">
        <f t="shared" si="0"/>
        <v>-</v>
      </c>
      <c r="I43" s="41"/>
      <c r="J43" s="68" t="str">
        <f t="shared" si="1"/>
        <v>-</v>
      </c>
      <c r="K43" s="41"/>
      <c r="L43" s="68" t="str">
        <f t="shared" si="2"/>
        <v>-</v>
      </c>
      <c r="M43" s="41"/>
      <c r="N43" s="68" t="str">
        <f t="shared" si="3"/>
        <v>-</v>
      </c>
      <c r="O43" s="41"/>
      <c r="P43" s="68" t="str">
        <f t="shared" si="4"/>
        <v>-</v>
      </c>
      <c r="Q43" s="41"/>
      <c r="R43" s="68" t="str">
        <f t="shared" si="5"/>
        <v>-</v>
      </c>
      <c r="S43" s="41"/>
      <c r="T43" s="68" t="str">
        <f t="shared" si="6"/>
        <v>-</v>
      </c>
      <c r="U43" s="41"/>
      <c r="V43" s="68" t="str">
        <f t="shared" si="7"/>
        <v>-</v>
      </c>
      <c r="W43" s="41"/>
      <c r="X43" s="68" t="str">
        <f t="shared" si="8"/>
        <v>-</v>
      </c>
      <c r="Y43" s="41"/>
      <c r="Z43" s="69" t="str">
        <f t="shared" si="9"/>
        <v>-</v>
      </c>
      <c r="AA43" s="13"/>
      <c r="AB43" s="85" t="str">
        <f t="shared" si="10"/>
        <v>-</v>
      </c>
      <c r="AC43" s="16"/>
      <c r="AD43" s="36" t="str">
        <f>IF(C43="","-", (VLOOKUP(C43, 'Attendance Sheet'!$C$7:$F$62,4,FALSE)))</f>
        <v>-</v>
      </c>
      <c r="AE43" s="18"/>
      <c r="AF43" s="89" t="str">
        <f>PRELIM!AF43</f>
        <v>-</v>
      </c>
      <c r="AG43" s="145" t="str">
        <f>IF(AB43 = "INC",
 "INC",
 IF(
  AB43 = "-",
  "-",
  VLOOKUP(AB43,'Grade Config'!$C$6:$D$37,2)
 )
)</f>
        <v>-</v>
      </c>
      <c r="AH43" s="92" t="str">
        <f t="shared" si="11"/>
        <v>-</v>
      </c>
      <c r="AI43" s="341"/>
      <c r="AJ43" s="342"/>
      <c r="AK43" s="14"/>
    </row>
    <row r="44" spans="2:37">
      <c r="B44" s="33">
        <v>28</v>
      </c>
      <c r="C44" s="57" t="str">
        <f>IF('Attendance Sheet'!C35 = "", "", 'Attendance Sheet'!C35)</f>
        <v/>
      </c>
      <c r="D44" s="57" t="str">
        <f>IF('Attendance Sheet'!D35 = "", "", 'Attendance Sheet'!D35)</f>
        <v/>
      </c>
      <c r="E44" s="61" t="str">
        <f>IF('Attendance Sheet'!E35 = "", "", 'Attendance Sheet'!E35)</f>
        <v/>
      </c>
      <c r="F44" s="19"/>
      <c r="G44" s="34"/>
      <c r="H44" s="68" t="str">
        <f t="shared" si="0"/>
        <v>-</v>
      </c>
      <c r="I44" s="41"/>
      <c r="J44" s="68" t="str">
        <f t="shared" si="1"/>
        <v>-</v>
      </c>
      <c r="K44" s="41"/>
      <c r="L44" s="68" t="str">
        <f t="shared" si="2"/>
        <v>-</v>
      </c>
      <c r="M44" s="41"/>
      <c r="N44" s="68" t="str">
        <f t="shared" si="3"/>
        <v>-</v>
      </c>
      <c r="O44" s="41"/>
      <c r="P44" s="68" t="str">
        <f t="shared" si="4"/>
        <v>-</v>
      </c>
      <c r="Q44" s="41"/>
      <c r="R44" s="68" t="str">
        <f t="shared" si="5"/>
        <v>-</v>
      </c>
      <c r="S44" s="41"/>
      <c r="T44" s="68" t="str">
        <f t="shared" si="6"/>
        <v>-</v>
      </c>
      <c r="U44" s="41"/>
      <c r="V44" s="68" t="str">
        <f t="shared" si="7"/>
        <v>-</v>
      </c>
      <c r="W44" s="41"/>
      <c r="X44" s="68" t="str">
        <f t="shared" si="8"/>
        <v>-</v>
      </c>
      <c r="Y44" s="41"/>
      <c r="Z44" s="69" t="str">
        <f t="shared" si="9"/>
        <v>-</v>
      </c>
      <c r="AA44" s="13"/>
      <c r="AB44" s="85" t="str">
        <f t="shared" si="10"/>
        <v>-</v>
      </c>
      <c r="AC44" s="16"/>
      <c r="AD44" s="36" t="str">
        <f>IF(C44="","-", (VLOOKUP(C44, 'Attendance Sheet'!$C$7:$F$62,4,FALSE)))</f>
        <v>-</v>
      </c>
      <c r="AE44" s="18"/>
      <c r="AF44" s="89" t="str">
        <f>PRELIM!AF44</f>
        <v>-</v>
      </c>
      <c r="AG44" s="145" t="str">
        <f>IF(AB44 = "INC",
 "INC",
 IF(
  AB44 = "-",
  "-",
  VLOOKUP(AB44,'Grade Config'!$C$6:$D$37,2)
 )
)</f>
        <v>-</v>
      </c>
      <c r="AH44" s="92" t="str">
        <f t="shared" si="11"/>
        <v>-</v>
      </c>
      <c r="AI44" s="341"/>
      <c r="AJ44" s="342"/>
      <c r="AK44" s="14"/>
    </row>
    <row r="45" spans="2:37">
      <c r="B45" s="33">
        <v>29</v>
      </c>
      <c r="C45" s="57" t="str">
        <f>IF('Attendance Sheet'!C36 = "", "", 'Attendance Sheet'!C36)</f>
        <v/>
      </c>
      <c r="D45" s="57" t="str">
        <f>IF('Attendance Sheet'!D36 = "", "", 'Attendance Sheet'!D36)</f>
        <v/>
      </c>
      <c r="E45" s="61" t="str">
        <f>IF('Attendance Sheet'!E36 = "", "", 'Attendance Sheet'!E36)</f>
        <v/>
      </c>
      <c r="F45" s="19"/>
      <c r="G45" s="34"/>
      <c r="H45" s="68" t="str">
        <f t="shared" si="0"/>
        <v>-</v>
      </c>
      <c r="I45" s="41"/>
      <c r="J45" s="68" t="str">
        <f t="shared" si="1"/>
        <v>-</v>
      </c>
      <c r="K45" s="41"/>
      <c r="L45" s="68" t="str">
        <f t="shared" si="2"/>
        <v>-</v>
      </c>
      <c r="M45" s="41"/>
      <c r="N45" s="68" t="str">
        <f t="shared" si="3"/>
        <v>-</v>
      </c>
      <c r="O45" s="41"/>
      <c r="P45" s="68" t="str">
        <f t="shared" si="4"/>
        <v>-</v>
      </c>
      <c r="Q45" s="41"/>
      <c r="R45" s="68" t="str">
        <f t="shared" si="5"/>
        <v>-</v>
      </c>
      <c r="S45" s="41"/>
      <c r="T45" s="68" t="str">
        <f t="shared" si="6"/>
        <v>-</v>
      </c>
      <c r="U45" s="41"/>
      <c r="V45" s="68" t="str">
        <f t="shared" si="7"/>
        <v>-</v>
      </c>
      <c r="W45" s="41"/>
      <c r="X45" s="68" t="str">
        <f t="shared" si="8"/>
        <v>-</v>
      </c>
      <c r="Y45" s="41"/>
      <c r="Z45" s="69" t="str">
        <f t="shared" si="9"/>
        <v>-</v>
      </c>
      <c r="AA45" s="13"/>
      <c r="AB45" s="85" t="str">
        <f t="shared" si="10"/>
        <v>-</v>
      </c>
      <c r="AC45" s="16"/>
      <c r="AD45" s="36" t="str">
        <f>IF(C45="","-", (VLOOKUP(C45, 'Attendance Sheet'!$C$7:$F$62,4,FALSE)))</f>
        <v>-</v>
      </c>
      <c r="AE45" s="18"/>
      <c r="AF45" s="89" t="str">
        <f>PRELIM!AF45</f>
        <v>-</v>
      </c>
      <c r="AG45" s="145" t="str">
        <f>IF(AB45 = "INC",
 "INC",
 IF(
  AB45 = "-",
  "-",
  VLOOKUP(AB45,'Grade Config'!$C$6:$D$37,2)
 )
)</f>
        <v>-</v>
      </c>
      <c r="AH45" s="92" t="str">
        <f t="shared" si="11"/>
        <v>-</v>
      </c>
      <c r="AI45" s="341"/>
      <c r="AJ45" s="342"/>
      <c r="AK45" s="14"/>
    </row>
    <row r="46" spans="2:37">
      <c r="B46" s="33">
        <v>30</v>
      </c>
      <c r="C46" s="57" t="str">
        <f>IF('Attendance Sheet'!C37 = "", "", 'Attendance Sheet'!C37)</f>
        <v/>
      </c>
      <c r="D46" s="57" t="str">
        <f>IF('Attendance Sheet'!D37 = "", "", 'Attendance Sheet'!D37)</f>
        <v/>
      </c>
      <c r="E46" s="61" t="str">
        <f>IF('Attendance Sheet'!E37 = "", "", 'Attendance Sheet'!E37)</f>
        <v/>
      </c>
      <c r="F46" s="19"/>
      <c r="G46" s="34"/>
      <c r="H46" s="68" t="str">
        <f t="shared" si="0"/>
        <v>-</v>
      </c>
      <c r="I46" s="41"/>
      <c r="J46" s="68" t="str">
        <f t="shared" si="1"/>
        <v>-</v>
      </c>
      <c r="K46" s="41"/>
      <c r="L46" s="68" t="str">
        <f t="shared" si="2"/>
        <v>-</v>
      </c>
      <c r="M46" s="41"/>
      <c r="N46" s="68" t="str">
        <f t="shared" si="3"/>
        <v>-</v>
      </c>
      <c r="O46" s="41"/>
      <c r="P46" s="68" t="str">
        <f t="shared" si="4"/>
        <v>-</v>
      </c>
      <c r="Q46" s="41"/>
      <c r="R46" s="68" t="str">
        <f t="shared" si="5"/>
        <v>-</v>
      </c>
      <c r="S46" s="41"/>
      <c r="T46" s="68" t="str">
        <f t="shared" si="6"/>
        <v>-</v>
      </c>
      <c r="U46" s="41"/>
      <c r="V46" s="68" t="str">
        <f t="shared" si="7"/>
        <v>-</v>
      </c>
      <c r="W46" s="41"/>
      <c r="X46" s="68" t="str">
        <f t="shared" si="8"/>
        <v>-</v>
      </c>
      <c r="Y46" s="41"/>
      <c r="Z46" s="69" t="str">
        <f t="shared" si="9"/>
        <v>-</v>
      </c>
      <c r="AA46" s="13"/>
      <c r="AB46" s="85" t="str">
        <f t="shared" si="10"/>
        <v>-</v>
      </c>
      <c r="AC46" s="16"/>
      <c r="AD46" s="36" t="str">
        <f>IF(C46="","-", (VLOOKUP(C46, 'Attendance Sheet'!$C$7:$F$62,4,FALSE)))</f>
        <v>-</v>
      </c>
      <c r="AE46" s="18"/>
      <c r="AF46" s="89" t="str">
        <f>PRELIM!AF46</f>
        <v>-</v>
      </c>
      <c r="AG46" s="145" t="str">
        <f>IF(AB46 = "INC",
 "INC",
 IF(
  AB46 = "-",
  "-",
  VLOOKUP(AB46,'Grade Config'!$C$6:$D$37,2)
 )
)</f>
        <v>-</v>
      </c>
      <c r="AH46" s="92" t="str">
        <f t="shared" si="11"/>
        <v>-</v>
      </c>
      <c r="AI46" s="341"/>
      <c r="AJ46" s="342"/>
      <c r="AK46" s="14"/>
    </row>
    <row r="47" spans="2:37">
      <c r="B47" s="33">
        <v>31</v>
      </c>
      <c r="C47" s="57" t="str">
        <f>IF('Attendance Sheet'!C38 = "", "", 'Attendance Sheet'!C38)</f>
        <v/>
      </c>
      <c r="D47" s="57" t="str">
        <f>IF('Attendance Sheet'!D38 = "", "", 'Attendance Sheet'!D38)</f>
        <v/>
      </c>
      <c r="E47" s="61" t="str">
        <f>IF('Attendance Sheet'!E38 = "", "", 'Attendance Sheet'!E38)</f>
        <v/>
      </c>
      <c r="F47" s="19"/>
      <c r="G47" s="34"/>
      <c r="H47" s="68" t="str">
        <f t="shared" si="0"/>
        <v>-</v>
      </c>
      <c r="I47" s="41"/>
      <c r="J47" s="68" t="str">
        <f t="shared" si="1"/>
        <v>-</v>
      </c>
      <c r="K47" s="41"/>
      <c r="L47" s="68" t="str">
        <f t="shared" si="2"/>
        <v>-</v>
      </c>
      <c r="M47" s="41"/>
      <c r="N47" s="68" t="str">
        <f t="shared" si="3"/>
        <v>-</v>
      </c>
      <c r="O47" s="41"/>
      <c r="P47" s="68" t="str">
        <f t="shared" si="4"/>
        <v>-</v>
      </c>
      <c r="Q47" s="41"/>
      <c r="R47" s="68" t="str">
        <f t="shared" si="5"/>
        <v>-</v>
      </c>
      <c r="S47" s="41"/>
      <c r="T47" s="68" t="str">
        <f t="shared" si="6"/>
        <v>-</v>
      </c>
      <c r="U47" s="41"/>
      <c r="V47" s="68" t="str">
        <f t="shared" si="7"/>
        <v>-</v>
      </c>
      <c r="W47" s="41"/>
      <c r="X47" s="68" t="str">
        <f t="shared" si="8"/>
        <v>-</v>
      </c>
      <c r="Y47" s="41"/>
      <c r="Z47" s="69" t="str">
        <f t="shared" si="9"/>
        <v>-</v>
      </c>
      <c r="AA47" s="13"/>
      <c r="AB47" s="85" t="str">
        <f t="shared" si="10"/>
        <v>-</v>
      </c>
      <c r="AC47" s="16"/>
      <c r="AD47" s="36" t="str">
        <f>IF(C47="","-", (VLOOKUP(C47, 'Attendance Sheet'!$C$7:$F$62,4,FALSE)))</f>
        <v>-</v>
      </c>
      <c r="AE47" s="18"/>
      <c r="AF47" s="89" t="str">
        <f>PRELIM!AF47</f>
        <v>-</v>
      </c>
      <c r="AG47" s="145" t="str">
        <f>IF(AB47 = "INC",
 "INC",
 IF(
  AB47 = "-",
  "-",
  VLOOKUP(AB47,'Grade Config'!$C$6:$D$37,2)
 )
)</f>
        <v>-</v>
      </c>
      <c r="AH47" s="92" t="str">
        <f t="shared" si="11"/>
        <v>-</v>
      </c>
      <c r="AI47" s="341"/>
      <c r="AJ47" s="342"/>
      <c r="AK47" s="14"/>
    </row>
    <row r="48" spans="2:37">
      <c r="B48" s="33">
        <v>32</v>
      </c>
      <c r="C48" s="57" t="str">
        <f>IF('Attendance Sheet'!C39 = "", "", 'Attendance Sheet'!C39)</f>
        <v/>
      </c>
      <c r="D48" s="57" t="str">
        <f>IF('Attendance Sheet'!D39 = "", "", 'Attendance Sheet'!D39)</f>
        <v/>
      </c>
      <c r="E48" s="61" t="str">
        <f>IF('Attendance Sheet'!E39 = "", "", 'Attendance Sheet'!E39)</f>
        <v/>
      </c>
      <c r="F48" s="19"/>
      <c r="G48" s="34"/>
      <c r="H48" s="68" t="str">
        <f t="shared" si="0"/>
        <v>-</v>
      </c>
      <c r="I48" s="41"/>
      <c r="J48" s="68" t="str">
        <f t="shared" si="1"/>
        <v>-</v>
      </c>
      <c r="K48" s="41"/>
      <c r="L48" s="68" t="str">
        <f t="shared" si="2"/>
        <v>-</v>
      </c>
      <c r="M48" s="41"/>
      <c r="N48" s="68" t="str">
        <f t="shared" si="3"/>
        <v>-</v>
      </c>
      <c r="O48" s="41"/>
      <c r="P48" s="68" t="str">
        <f t="shared" si="4"/>
        <v>-</v>
      </c>
      <c r="Q48" s="41"/>
      <c r="R48" s="68" t="str">
        <f t="shared" si="5"/>
        <v>-</v>
      </c>
      <c r="S48" s="41"/>
      <c r="T48" s="68" t="str">
        <f t="shared" si="6"/>
        <v>-</v>
      </c>
      <c r="U48" s="41"/>
      <c r="V48" s="68" t="str">
        <f t="shared" si="7"/>
        <v>-</v>
      </c>
      <c r="W48" s="41"/>
      <c r="X48" s="68" t="str">
        <f t="shared" si="8"/>
        <v>-</v>
      </c>
      <c r="Y48" s="41"/>
      <c r="Z48" s="69" t="str">
        <f t="shared" si="9"/>
        <v>-</v>
      </c>
      <c r="AA48" s="13"/>
      <c r="AB48" s="85" t="str">
        <f t="shared" si="10"/>
        <v>-</v>
      </c>
      <c r="AC48" s="16"/>
      <c r="AD48" s="36" t="str">
        <f>IF(C48="","-", (VLOOKUP(C48, 'Attendance Sheet'!$C$7:$F$62,4,FALSE)))</f>
        <v>-</v>
      </c>
      <c r="AE48" s="18"/>
      <c r="AF48" s="89" t="str">
        <f>PRELIM!AF48</f>
        <v>-</v>
      </c>
      <c r="AG48" s="145" t="str">
        <f>IF(AB48 = "INC",
 "INC",
 IF(
  AB48 = "-",
  "-",
  VLOOKUP(AB48,'Grade Config'!$C$6:$D$37,2)
 )
)</f>
        <v>-</v>
      </c>
      <c r="AH48" s="92" t="str">
        <f t="shared" si="11"/>
        <v>-</v>
      </c>
      <c r="AI48" s="341"/>
      <c r="AJ48" s="342"/>
      <c r="AK48" s="14"/>
    </row>
    <row r="49" spans="2:37">
      <c r="B49" s="33">
        <v>33</v>
      </c>
      <c r="C49" s="57" t="str">
        <f>IF('Attendance Sheet'!C40 = "", "", 'Attendance Sheet'!C40)</f>
        <v/>
      </c>
      <c r="D49" s="57" t="str">
        <f>IF('Attendance Sheet'!D40 = "", "", 'Attendance Sheet'!D40)</f>
        <v/>
      </c>
      <c r="E49" s="61" t="str">
        <f>IF('Attendance Sheet'!E40 = "", "", 'Attendance Sheet'!E40)</f>
        <v/>
      </c>
      <c r="F49" s="19"/>
      <c r="G49" s="34"/>
      <c r="H49" s="68" t="str">
        <f t="shared" si="0"/>
        <v>-</v>
      </c>
      <c r="I49" s="41"/>
      <c r="J49" s="68" t="str">
        <f t="shared" si="1"/>
        <v>-</v>
      </c>
      <c r="K49" s="41"/>
      <c r="L49" s="68" t="str">
        <f t="shared" si="2"/>
        <v>-</v>
      </c>
      <c r="M49" s="41"/>
      <c r="N49" s="68" t="str">
        <f t="shared" si="3"/>
        <v>-</v>
      </c>
      <c r="O49" s="41"/>
      <c r="P49" s="68" t="str">
        <f t="shared" si="4"/>
        <v>-</v>
      </c>
      <c r="Q49" s="41"/>
      <c r="R49" s="68" t="str">
        <f t="shared" si="5"/>
        <v>-</v>
      </c>
      <c r="S49" s="41"/>
      <c r="T49" s="68" t="str">
        <f t="shared" si="6"/>
        <v>-</v>
      </c>
      <c r="U49" s="41"/>
      <c r="V49" s="68" t="str">
        <f t="shared" si="7"/>
        <v>-</v>
      </c>
      <c r="W49" s="41"/>
      <c r="X49" s="68" t="str">
        <f t="shared" si="8"/>
        <v>-</v>
      </c>
      <c r="Y49" s="41"/>
      <c r="Z49" s="69" t="str">
        <f t="shared" si="9"/>
        <v>-</v>
      </c>
      <c r="AA49" s="13"/>
      <c r="AB49" s="85" t="str">
        <f t="shared" si="10"/>
        <v>-</v>
      </c>
      <c r="AC49" s="16"/>
      <c r="AD49" s="36" t="str">
        <f>IF(C49="","-", (VLOOKUP(C49, 'Attendance Sheet'!$C$7:$F$62,4,FALSE)))</f>
        <v>-</v>
      </c>
      <c r="AE49" s="18"/>
      <c r="AF49" s="89" t="str">
        <f>PRELIM!AF49</f>
        <v>-</v>
      </c>
      <c r="AG49" s="145" t="str">
        <f>IF(AB49 = "INC",
 "INC",
 IF(
  AB49 = "-",
  "-",
  VLOOKUP(AB49,'Grade Config'!$C$6:$D$37,2)
 )
)</f>
        <v>-</v>
      </c>
      <c r="AH49" s="92" t="str">
        <f t="shared" si="11"/>
        <v>-</v>
      </c>
      <c r="AI49" s="341"/>
      <c r="AJ49" s="342"/>
      <c r="AK49" s="14"/>
    </row>
    <row r="50" spans="2:37">
      <c r="B50" s="33">
        <v>34</v>
      </c>
      <c r="C50" s="57" t="str">
        <f>IF('Attendance Sheet'!C41 = "", "", 'Attendance Sheet'!C41)</f>
        <v/>
      </c>
      <c r="D50" s="57" t="str">
        <f>IF('Attendance Sheet'!D41 = "", "", 'Attendance Sheet'!D41)</f>
        <v/>
      </c>
      <c r="E50" s="61" t="str">
        <f>IF('Attendance Sheet'!E41 = "", "", 'Attendance Sheet'!E41)</f>
        <v/>
      </c>
      <c r="F50" s="19"/>
      <c r="G50" s="34"/>
      <c r="H50" s="68" t="str">
        <f t="shared" si="0"/>
        <v>-</v>
      </c>
      <c r="I50" s="41"/>
      <c r="J50" s="68" t="str">
        <f t="shared" si="1"/>
        <v>-</v>
      </c>
      <c r="K50" s="41"/>
      <c r="L50" s="68" t="str">
        <f t="shared" si="2"/>
        <v>-</v>
      </c>
      <c r="M50" s="41"/>
      <c r="N50" s="68" t="str">
        <f t="shared" si="3"/>
        <v>-</v>
      </c>
      <c r="O50" s="41"/>
      <c r="P50" s="68" t="str">
        <f t="shared" si="4"/>
        <v>-</v>
      </c>
      <c r="Q50" s="41"/>
      <c r="R50" s="68" t="str">
        <f t="shared" si="5"/>
        <v>-</v>
      </c>
      <c r="S50" s="41"/>
      <c r="T50" s="68" t="str">
        <f t="shared" si="6"/>
        <v>-</v>
      </c>
      <c r="U50" s="41"/>
      <c r="V50" s="68" t="str">
        <f t="shared" si="7"/>
        <v>-</v>
      </c>
      <c r="W50" s="41"/>
      <c r="X50" s="68" t="str">
        <f t="shared" si="8"/>
        <v>-</v>
      </c>
      <c r="Y50" s="41"/>
      <c r="Z50" s="69" t="str">
        <f t="shared" si="9"/>
        <v>-</v>
      </c>
      <c r="AA50" s="13"/>
      <c r="AB50" s="85" t="str">
        <f t="shared" si="10"/>
        <v>-</v>
      </c>
      <c r="AC50" s="16"/>
      <c r="AD50" s="36" t="str">
        <f>IF(C50="","-", (VLOOKUP(C50, 'Attendance Sheet'!$C$7:$F$62,4,FALSE)))</f>
        <v>-</v>
      </c>
      <c r="AE50" s="18"/>
      <c r="AF50" s="89" t="str">
        <f>PRELIM!AF50</f>
        <v>-</v>
      </c>
      <c r="AG50" s="145" t="str">
        <f>IF(AB50 = "INC",
 "INC",
 IF(
  AB50 = "-",
  "-",
  VLOOKUP(AB50,'Grade Config'!$C$6:$D$37,2)
 )
)</f>
        <v>-</v>
      </c>
      <c r="AH50" s="92" t="str">
        <f t="shared" si="11"/>
        <v>-</v>
      </c>
      <c r="AI50" s="341"/>
      <c r="AJ50" s="342"/>
      <c r="AK50" s="14"/>
    </row>
    <row r="51" spans="2:37">
      <c r="B51" s="33">
        <v>35</v>
      </c>
      <c r="C51" s="57" t="str">
        <f>IF('Attendance Sheet'!C42 = "", "", 'Attendance Sheet'!C42)</f>
        <v/>
      </c>
      <c r="D51" s="57" t="str">
        <f>IF('Attendance Sheet'!D42 = "", "", 'Attendance Sheet'!D42)</f>
        <v/>
      </c>
      <c r="E51" s="61" t="str">
        <f>IF('Attendance Sheet'!E42 = "", "", 'Attendance Sheet'!E42)</f>
        <v/>
      </c>
      <c r="F51" s="19"/>
      <c r="G51" s="34"/>
      <c r="H51" s="68" t="str">
        <f t="shared" si="0"/>
        <v>-</v>
      </c>
      <c r="I51" s="41"/>
      <c r="J51" s="68" t="str">
        <f t="shared" si="1"/>
        <v>-</v>
      </c>
      <c r="K51" s="41"/>
      <c r="L51" s="68" t="str">
        <f t="shared" si="2"/>
        <v>-</v>
      </c>
      <c r="M51" s="41"/>
      <c r="N51" s="68" t="str">
        <f t="shared" si="3"/>
        <v>-</v>
      </c>
      <c r="O51" s="41"/>
      <c r="P51" s="68" t="str">
        <f t="shared" si="4"/>
        <v>-</v>
      </c>
      <c r="Q51" s="41"/>
      <c r="R51" s="68" t="str">
        <f t="shared" si="5"/>
        <v>-</v>
      </c>
      <c r="S51" s="41"/>
      <c r="T51" s="68" t="str">
        <f t="shared" si="6"/>
        <v>-</v>
      </c>
      <c r="U51" s="41"/>
      <c r="V51" s="68" t="str">
        <f t="shared" si="7"/>
        <v>-</v>
      </c>
      <c r="W51" s="41"/>
      <c r="X51" s="68" t="str">
        <f t="shared" si="8"/>
        <v>-</v>
      </c>
      <c r="Y51" s="41"/>
      <c r="Z51" s="69" t="str">
        <f t="shared" si="9"/>
        <v>-</v>
      </c>
      <c r="AA51" s="13"/>
      <c r="AB51" s="85" t="str">
        <f t="shared" si="10"/>
        <v>-</v>
      </c>
      <c r="AC51" s="16"/>
      <c r="AD51" s="36" t="str">
        <f>IF(C51="","-", (VLOOKUP(C51, 'Attendance Sheet'!$C$7:$F$62,4,FALSE)))</f>
        <v>-</v>
      </c>
      <c r="AE51" s="18"/>
      <c r="AF51" s="89" t="str">
        <f>PRELIM!AF51</f>
        <v>-</v>
      </c>
      <c r="AG51" s="145" t="str">
        <f>IF(AB51 = "INC",
 "INC",
 IF(
  AB51 = "-",
  "-",
  VLOOKUP(AB51,'Grade Config'!$C$6:$D$37,2)
 )
)</f>
        <v>-</v>
      </c>
      <c r="AH51" s="92" t="str">
        <f t="shared" si="11"/>
        <v>-</v>
      </c>
      <c r="AI51" s="341"/>
      <c r="AJ51" s="342"/>
      <c r="AK51" s="14"/>
    </row>
    <row r="52" spans="2:37">
      <c r="B52" s="33">
        <v>36</v>
      </c>
      <c r="C52" s="57" t="str">
        <f>IF('Attendance Sheet'!C43 = "", "", 'Attendance Sheet'!C43)</f>
        <v/>
      </c>
      <c r="D52" s="57" t="str">
        <f>IF('Attendance Sheet'!D43 = "", "", 'Attendance Sheet'!D43)</f>
        <v/>
      </c>
      <c r="E52" s="61" t="str">
        <f>IF('Attendance Sheet'!E43 = "", "", 'Attendance Sheet'!E43)</f>
        <v/>
      </c>
      <c r="F52" s="19"/>
      <c r="G52" s="34"/>
      <c r="H52" s="68" t="str">
        <f t="shared" si="0"/>
        <v>-</v>
      </c>
      <c r="I52" s="41"/>
      <c r="J52" s="68" t="str">
        <f t="shared" si="1"/>
        <v>-</v>
      </c>
      <c r="K52" s="41"/>
      <c r="L52" s="68" t="str">
        <f t="shared" si="2"/>
        <v>-</v>
      </c>
      <c r="M52" s="41"/>
      <c r="N52" s="68" t="str">
        <f t="shared" si="3"/>
        <v>-</v>
      </c>
      <c r="O52" s="41"/>
      <c r="P52" s="68" t="str">
        <f t="shared" si="4"/>
        <v>-</v>
      </c>
      <c r="Q52" s="41"/>
      <c r="R52" s="68" t="str">
        <f t="shared" si="5"/>
        <v>-</v>
      </c>
      <c r="S52" s="41"/>
      <c r="T52" s="68" t="str">
        <f t="shared" si="6"/>
        <v>-</v>
      </c>
      <c r="U52" s="41"/>
      <c r="V52" s="68" t="str">
        <f t="shared" si="7"/>
        <v>-</v>
      </c>
      <c r="W52" s="41"/>
      <c r="X52" s="68" t="str">
        <f t="shared" si="8"/>
        <v>-</v>
      </c>
      <c r="Y52" s="41"/>
      <c r="Z52" s="69" t="str">
        <f t="shared" si="9"/>
        <v>-</v>
      </c>
      <c r="AA52" s="13"/>
      <c r="AB52" s="85" t="str">
        <f t="shared" si="10"/>
        <v>-</v>
      </c>
      <c r="AC52" s="16"/>
      <c r="AD52" s="36" t="str">
        <f>IF(C52="","-", (VLOOKUP(C52, 'Attendance Sheet'!$C$7:$F$62,4,FALSE)))</f>
        <v>-</v>
      </c>
      <c r="AE52" s="18"/>
      <c r="AF52" s="89" t="str">
        <f>PRELIM!AF52</f>
        <v>-</v>
      </c>
      <c r="AG52" s="145" t="str">
        <f>IF(AB52 = "INC",
 "INC",
 IF(
  AB52 = "-",
  "-",
  VLOOKUP(AB52,'Grade Config'!$C$6:$D$37,2)
 )
)</f>
        <v>-</v>
      </c>
      <c r="AH52" s="92" t="str">
        <f t="shared" si="11"/>
        <v>-</v>
      </c>
      <c r="AI52" s="341"/>
      <c r="AJ52" s="342"/>
      <c r="AK52" s="14"/>
    </row>
    <row r="53" spans="2:37">
      <c r="B53" s="33">
        <v>37</v>
      </c>
      <c r="C53" s="57" t="str">
        <f>IF('Attendance Sheet'!C44 = "", "", 'Attendance Sheet'!C44)</f>
        <v/>
      </c>
      <c r="D53" s="57" t="str">
        <f>IF('Attendance Sheet'!D44 = "", "", 'Attendance Sheet'!D44)</f>
        <v/>
      </c>
      <c r="E53" s="61" t="str">
        <f>IF('Attendance Sheet'!E44 = "", "", 'Attendance Sheet'!E44)</f>
        <v/>
      </c>
      <c r="F53" s="19"/>
      <c r="G53" s="34"/>
      <c r="H53" s="68" t="str">
        <f t="shared" si="0"/>
        <v>-</v>
      </c>
      <c r="I53" s="41"/>
      <c r="J53" s="68" t="str">
        <f t="shared" si="1"/>
        <v>-</v>
      </c>
      <c r="K53" s="41"/>
      <c r="L53" s="68" t="str">
        <f t="shared" si="2"/>
        <v>-</v>
      </c>
      <c r="M53" s="41"/>
      <c r="N53" s="68" t="str">
        <f t="shared" si="3"/>
        <v>-</v>
      </c>
      <c r="O53" s="41"/>
      <c r="P53" s="68" t="str">
        <f t="shared" si="4"/>
        <v>-</v>
      </c>
      <c r="Q53" s="41"/>
      <c r="R53" s="68" t="str">
        <f t="shared" si="5"/>
        <v>-</v>
      </c>
      <c r="S53" s="41"/>
      <c r="T53" s="68" t="str">
        <f t="shared" si="6"/>
        <v>-</v>
      </c>
      <c r="U53" s="41"/>
      <c r="V53" s="68" t="str">
        <f t="shared" si="7"/>
        <v>-</v>
      </c>
      <c r="W53" s="41"/>
      <c r="X53" s="68" t="str">
        <f t="shared" si="8"/>
        <v>-</v>
      </c>
      <c r="Y53" s="41"/>
      <c r="Z53" s="69" t="str">
        <f t="shared" si="9"/>
        <v>-</v>
      </c>
      <c r="AA53" s="13"/>
      <c r="AB53" s="85" t="str">
        <f t="shared" si="10"/>
        <v>-</v>
      </c>
      <c r="AC53" s="16"/>
      <c r="AD53" s="36" t="str">
        <f>IF(C53="","-", (VLOOKUP(C53, 'Attendance Sheet'!$C$7:$F$62,4,FALSE)))</f>
        <v>-</v>
      </c>
      <c r="AE53" s="18"/>
      <c r="AF53" s="89" t="str">
        <f>PRELIM!AF53</f>
        <v>-</v>
      </c>
      <c r="AG53" s="145" t="str">
        <f>IF(AB53 = "INC",
 "INC",
 IF(
  AB53 = "-",
  "-",
  VLOOKUP(AB53,'Grade Config'!$C$6:$D$37,2)
 )
)</f>
        <v>-</v>
      </c>
      <c r="AH53" s="92" t="str">
        <f t="shared" si="11"/>
        <v>-</v>
      </c>
      <c r="AI53" s="341"/>
      <c r="AJ53" s="342"/>
      <c r="AK53" s="14"/>
    </row>
    <row r="54" spans="2:37">
      <c r="B54" s="33">
        <v>38</v>
      </c>
      <c r="C54" s="57" t="str">
        <f>IF('Attendance Sheet'!C45 = "", "", 'Attendance Sheet'!C45)</f>
        <v/>
      </c>
      <c r="D54" s="57" t="str">
        <f>IF('Attendance Sheet'!D45 = "", "", 'Attendance Sheet'!D45)</f>
        <v/>
      </c>
      <c r="E54" s="61" t="str">
        <f>IF('Attendance Sheet'!E45 = "", "", 'Attendance Sheet'!E45)</f>
        <v/>
      </c>
      <c r="F54" s="19"/>
      <c r="G54" s="34"/>
      <c r="H54" s="68" t="str">
        <f t="shared" si="0"/>
        <v>-</v>
      </c>
      <c r="I54" s="41"/>
      <c r="J54" s="68" t="str">
        <f t="shared" si="1"/>
        <v>-</v>
      </c>
      <c r="K54" s="41"/>
      <c r="L54" s="68" t="str">
        <f t="shared" si="2"/>
        <v>-</v>
      </c>
      <c r="M54" s="41"/>
      <c r="N54" s="68" t="str">
        <f t="shared" si="3"/>
        <v>-</v>
      </c>
      <c r="O54" s="41"/>
      <c r="P54" s="68" t="str">
        <f t="shared" si="4"/>
        <v>-</v>
      </c>
      <c r="Q54" s="41"/>
      <c r="R54" s="68" t="str">
        <f t="shared" si="5"/>
        <v>-</v>
      </c>
      <c r="S54" s="41"/>
      <c r="T54" s="68" t="str">
        <f t="shared" si="6"/>
        <v>-</v>
      </c>
      <c r="U54" s="41"/>
      <c r="V54" s="68" t="str">
        <f t="shared" si="7"/>
        <v>-</v>
      </c>
      <c r="W54" s="41"/>
      <c r="X54" s="68" t="str">
        <f t="shared" si="8"/>
        <v>-</v>
      </c>
      <c r="Y54" s="41"/>
      <c r="Z54" s="69" t="str">
        <f t="shared" si="9"/>
        <v>-</v>
      </c>
      <c r="AA54" s="13"/>
      <c r="AB54" s="85" t="str">
        <f t="shared" si="10"/>
        <v>-</v>
      </c>
      <c r="AC54" s="16"/>
      <c r="AD54" s="36" t="str">
        <f>IF(C54="","-", (VLOOKUP(C54, 'Attendance Sheet'!$C$7:$F$62,4,FALSE)))</f>
        <v>-</v>
      </c>
      <c r="AE54" s="18"/>
      <c r="AF54" s="89" t="str">
        <f>PRELIM!AF54</f>
        <v>-</v>
      </c>
      <c r="AG54" s="145" t="str">
        <f>IF(AB54 = "INC",
 "INC",
 IF(
  AB54 = "-",
  "-",
  VLOOKUP(AB54,'Grade Config'!$C$6:$D$37,2)
 )
)</f>
        <v>-</v>
      </c>
      <c r="AH54" s="92" t="str">
        <f t="shared" si="11"/>
        <v>-</v>
      </c>
      <c r="AI54" s="341"/>
      <c r="AJ54" s="342"/>
      <c r="AK54" s="14"/>
    </row>
    <row r="55" spans="2:37">
      <c r="B55" s="33">
        <v>39</v>
      </c>
      <c r="C55" s="57" t="str">
        <f>IF('Attendance Sheet'!C46 = "", "", 'Attendance Sheet'!C46)</f>
        <v/>
      </c>
      <c r="D55" s="57" t="str">
        <f>IF('Attendance Sheet'!D46 = "", "", 'Attendance Sheet'!D46)</f>
        <v/>
      </c>
      <c r="E55" s="61" t="str">
        <f>IF('Attendance Sheet'!E46 = "", "", 'Attendance Sheet'!E46)</f>
        <v/>
      </c>
      <c r="F55" s="19"/>
      <c r="G55" s="34"/>
      <c r="H55" s="68" t="str">
        <f t="shared" si="0"/>
        <v>-</v>
      </c>
      <c r="I55" s="41"/>
      <c r="J55" s="68" t="str">
        <f t="shared" si="1"/>
        <v>-</v>
      </c>
      <c r="K55" s="41"/>
      <c r="L55" s="68" t="str">
        <f t="shared" si="2"/>
        <v>-</v>
      </c>
      <c r="M55" s="41"/>
      <c r="N55" s="68" t="str">
        <f t="shared" si="3"/>
        <v>-</v>
      </c>
      <c r="O55" s="41"/>
      <c r="P55" s="68" t="str">
        <f t="shared" si="4"/>
        <v>-</v>
      </c>
      <c r="Q55" s="41"/>
      <c r="R55" s="68" t="str">
        <f t="shared" si="5"/>
        <v>-</v>
      </c>
      <c r="S55" s="41"/>
      <c r="T55" s="68" t="str">
        <f t="shared" si="6"/>
        <v>-</v>
      </c>
      <c r="U55" s="41"/>
      <c r="V55" s="68" t="str">
        <f t="shared" si="7"/>
        <v>-</v>
      </c>
      <c r="W55" s="41"/>
      <c r="X55" s="68" t="str">
        <f t="shared" si="8"/>
        <v>-</v>
      </c>
      <c r="Y55" s="41"/>
      <c r="Z55" s="69" t="str">
        <f t="shared" si="9"/>
        <v>-</v>
      </c>
      <c r="AA55" s="13"/>
      <c r="AB55" s="85" t="str">
        <f t="shared" si="10"/>
        <v>-</v>
      </c>
      <c r="AC55" s="16"/>
      <c r="AD55" s="36" t="str">
        <f>IF(C55="","-", (VLOOKUP(C55, 'Attendance Sheet'!$C$7:$F$62,4,FALSE)))</f>
        <v>-</v>
      </c>
      <c r="AE55" s="18"/>
      <c r="AF55" s="89" t="str">
        <f>PRELIM!AF55</f>
        <v>-</v>
      </c>
      <c r="AG55" s="145" t="str">
        <f>IF(AB55 = "INC",
 "INC",
 IF(
  AB55 = "-",
  "-",
  VLOOKUP(AB55,'Grade Config'!$C$6:$D$37,2)
 )
)</f>
        <v>-</v>
      </c>
      <c r="AH55" s="92" t="str">
        <f t="shared" si="11"/>
        <v>-</v>
      </c>
      <c r="AI55" s="341"/>
      <c r="AJ55" s="342"/>
      <c r="AK55" s="14"/>
    </row>
    <row r="56" spans="2:37">
      <c r="B56" s="33">
        <v>40</v>
      </c>
      <c r="C56" s="57" t="str">
        <f>IF('Attendance Sheet'!C47 = "", "", 'Attendance Sheet'!C47)</f>
        <v/>
      </c>
      <c r="D56" s="57" t="str">
        <f>IF('Attendance Sheet'!D47 = "", "", 'Attendance Sheet'!D47)</f>
        <v/>
      </c>
      <c r="E56" s="61" t="str">
        <f>IF('Attendance Sheet'!E47 = "", "", 'Attendance Sheet'!E47)</f>
        <v/>
      </c>
      <c r="F56" s="19"/>
      <c r="G56" s="34"/>
      <c r="H56" s="68" t="str">
        <f t="shared" si="0"/>
        <v>-</v>
      </c>
      <c r="I56" s="41"/>
      <c r="J56" s="68" t="str">
        <f t="shared" si="1"/>
        <v>-</v>
      </c>
      <c r="K56" s="41"/>
      <c r="L56" s="68" t="str">
        <f t="shared" si="2"/>
        <v>-</v>
      </c>
      <c r="M56" s="41"/>
      <c r="N56" s="68" t="str">
        <f t="shared" si="3"/>
        <v>-</v>
      </c>
      <c r="O56" s="41"/>
      <c r="P56" s="68" t="str">
        <f t="shared" si="4"/>
        <v>-</v>
      </c>
      <c r="Q56" s="41"/>
      <c r="R56" s="68" t="str">
        <f t="shared" si="5"/>
        <v>-</v>
      </c>
      <c r="S56" s="41"/>
      <c r="T56" s="68" t="str">
        <f t="shared" si="6"/>
        <v>-</v>
      </c>
      <c r="U56" s="41"/>
      <c r="V56" s="68" t="str">
        <f t="shared" si="7"/>
        <v>-</v>
      </c>
      <c r="W56" s="41"/>
      <c r="X56" s="68" t="str">
        <f t="shared" si="8"/>
        <v>-</v>
      </c>
      <c r="Y56" s="41"/>
      <c r="Z56" s="69" t="str">
        <f t="shared" si="9"/>
        <v>-</v>
      </c>
      <c r="AA56" s="13"/>
      <c r="AB56" s="85" t="str">
        <f t="shared" si="10"/>
        <v>-</v>
      </c>
      <c r="AC56" s="16"/>
      <c r="AD56" s="36" t="str">
        <f>IF(C56="","-", (VLOOKUP(C56, 'Attendance Sheet'!$C$7:$F$62,4,FALSE)))</f>
        <v>-</v>
      </c>
      <c r="AE56" s="18"/>
      <c r="AF56" s="89" t="str">
        <f>PRELIM!AF56</f>
        <v>-</v>
      </c>
      <c r="AG56" s="145" t="str">
        <f>IF(AB56 = "INC",
 "INC",
 IF(
  AB56 = "-",
  "-",
  VLOOKUP(AB56,'Grade Config'!$C$6:$D$37,2)
 )
)</f>
        <v>-</v>
      </c>
      <c r="AH56" s="92" t="str">
        <f t="shared" si="11"/>
        <v>-</v>
      </c>
      <c r="AI56" s="341"/>
      <c r="AJ56" s="342"/>
      <c r="AK56" s="14"/>
    </row>
    <row r="57" spans="2:37">
      <c r="B57" s="33">
        <v>41</v>
      </c>
      <c r="C57" s="57" t="str">
        <f>IF('Attendance Sheet'!C48 = "", "", 'Attendance Sheet'!C48)</f>
        <v/>
      </c>
      <c r="D57" s="57" t="str">
        <f>IF('Attendance Sheet'!D48 = "", "", 'Attendance Sheet'!D48)</f>
        <v/>
      </c>
      <c r="E57" s="61" t="str">
        <f>IF('Attendance Sheet'!E48 = "", "", 'Attendance Sheet'!E48)</f>
        <v/>
      </c>
      <c r="F57" s="19"/>
      <c r="G57" s="34"/>
      <c r="H57" s="68" t="str">
        <f t="shared" si="0"/>
        <v>-</v>
      </c>
      <c r="I57" s="41"/>
      <c r="J57" s="68" t="str">
        <f t="shared" si="1"/>
        <v>-</v>
      </c>
      <c r="K57" s="41"/>
      <c r="L57" s="68" t="str">
        <f t="shared" si="2"/>
        <v>-</v>
      </c>
      <c r="M57" s="41"/>
      <c r="N57" s="68" t="str">
        <f t="shared" si="3"/>
        <v>-</v>
      </c>
      <c r="O57" s="41"/>
      <c r="P57" s="68" t="str">
        <f t="shared" si="4"/>
        <v>-</v>
      </c>
      <c r="Q57" s="41"/>
      <c r="R57" s="68" t="str">
        <f t="shared" si="5"/>
        <v>-</v>
      </c>
      <c r="S57" s="41"/>
      <c r="T57" s="68" t="str">
        <f t="shared" si="6"/>
        <v>-</v>
      </c>
      <c r="U57" s="41"/>
      <c r="V57" s="68" t="str">
        <f t="shared" si="7"/>
        <v>-</v>
      </c>
      <c r="W57" s="41"/>
      <c r="X57" s="68" t="str">
        <f t="shared" si="8"/>
        <v>-</v>
      </c>
      <c r="Y57" s="41"/>
      <c r="Z57" s="69" t="str">
        <f t="shared" si="9"/>
        <v>-</v>
      </c>
      <c r="AA57" s="13"/>
      <c r="AB57" s="85" t="str">
        <f t="shared" si="10"/>
        <v>-</v>
      </c>
      <c r="AC57" s="16"/>
      <c r="AD57" s="36" t="str">
        <f>IF(C57="","-", (VLOOKUP(C57, 'Attendance Sheet'!$C$7:$F$62,4,FALSE)))</f>
        <v>-</v>
      </c>
      <c r="AE57" s="18"/>
      <c r="AF57" s="89" t="str">
        <f>PRELIM!AF57</f>
        <v>-</v>
      </c>
      <c r="AG57" s="145" t="str">
        <f>IF(AB57 = "INC",
 "INC",
 IF(
  AB57 = "-",
  "-",
  VLOOKUP(AB57,'Grade Config'!$C$6:$D$37,2)
 )
)</f>
        <v>-</v>
      </c>
      <c r="AH57" s="92" t="str">
        <f t="shared" si="11"/>
        <v>-</v>
      </c>
      <c r="AI57" s="341"/>
      <c r="AJ57" s="342"/>
      <c r="AK57" s="14"/>
    </row>
    <row r="58" spans="2:37">
      <c r="B58" s="33">
        <v>42</v>
      </c>
      <c r="C58" s="57" t="str">
        <f>IF('Attendance Sheet'!C49 = "", "", 'Attendance Sheet'!C49)</f>
        <v/>
      </c>
      <c r="D58" s="57" t="str">
        <f>IF('Attendance Sheet'!D49 = "", "", 'Attendance Sheet'!D49)</f>
        <v/>
      </c>
      <c r="E58" s="61" t="str">
        <f>IF('Attendance Sheet'!E49 = "", "", 'Attendance Sheet'!E49)</f>
        <v/>
      </c>
      <c r="F58" s="19"/>
      <c r="G58" s="34"/>
      <c r="H58" s="68" t="str">
        <f t="shared" si="0"/>
        <v>-</v>
      </c>
      <c r="I58" s="41"/>
      <c r="J58" s="68" t="str">
        <f t="shared" si="1"/>
        <v>-</v>
      </c>
      <c r="K58" s="41"/>
      <c r="L58" s="68" t="str">
        <f t="shared" si="2"/>
        <v>-</v>
      </c>
      <c r="M58" s="41"/>
      <c r="N58" s="68" t="str">
        <f t="shared" si="3"/>
        <v>-</v>
      </c>
      <c r="O58" s="41"/>
      <c r="P58" s="68" t="str">
        <f t="shared" si="4"/>
        <v>-</v>
      </c>
      <c r="Q58" s="41"/>
      <c r="R58" s="68" t="str">
        <f t="shared" si="5"/>
        <v>-</v>
      </c>
      <c r="S58" s="41"/>
      <c r="T58" s="68" t="str">
        <f t="shared" si="6"/>
        <v>-</v>
      </c>
      <c r="U58" s="41"/>
      <c r="V58" s="68" t="str">
        <f t="shared" si="7"/>
        <v>-</v>
      </c>
      <c r="W58" s="41"/>
      <c r="X58" s="68" t="str">
        <f t="shared" si="8"/>
        <v>-</v>
      </c>
      <c r="Y58" s="41"/>
      <c r="Z58" s="69" t="str">
        <f t="shared" si="9"/>
        <v>-</v>
      </c>
      <c r="AA58" s="13"/>
      <c r="AB58" s="85" t="str">
        <f t="shared" si="10"/>
        <v>-</v>
      </c>
      <c r="AC58" s="16"/>
      <c r="AD58" s="36" t="str">
        <f>IF(C58="","-", (VLOOKUP(C58, 'Attendance Sheet'!$C$7:$F$62,4,FALSE)))</f>
        <v>-</v>
      </c>
      <c r="AE58" s="18"/>
      <c r="AF58" s="89" t="str">
        <f>PRELIM!AF58</f>
        <v>-</v>
      </c>
      <c r="AG58" s="145" t="str">
        <f>IF(AB58 = "INC",
 "INC",
 IF(
  AB58 = "-",
  "-",
  VLOOKUP(AB58,'Grade Config'!$C$6:$D$37,2)
 )
)</f>
        <v>-</v>
      </c>
      <c r="AH58" s="92" t="str">
        <f t="shared" si="11"/>
        <v>-</v>
      </c>
      <c r="AI58" s="341"/>
      <c r="AJ58" s="342"/>
      <c r="AK58" s="14"/>
    </row>
    <row r="59" spans="2:37">
      <c r="B59" s="33">
        <v>43</v>
      </c>
      <c r="C59" s="57" t="str">
        <f>IF('Attendance Sheet'!C50 = "", "", 'Attendance Sheet'!C50)</f>
        <v/>
      </c>
      <c r="D59" s="57" t="str">
        <f>IF('Attendance Sheet'!D50 = "", "", 'Attendance Sheet'!D50)</f>
        <v/>
      </c>
      <c r="E59" s="61" t="str">
        <f>IF('Attendance Sheet'!E50 = "", "", 'Attendance Sheet'!E50)</f>
        <v/>
      </c>
      <c r="F59" s="19"/>
      <c r="G59" s="34"/>
      <c r="H59" s="68" t="str">
        <f t="shared" si="0"/>
        <v>-</v>
      </c>
      <c r="I59" s="41"/>
      <c r="J59" s="68" t="str">
        <f t="shared" si="1"/>
        <v>-</v>
      </c>
      <c r="K59" s="41"/>
      <c r="L59" s="68" t="str">
        <f t="shared" si="2"/>
        <v>-</v>
      </c>
      <c r="M59" s="41"/>
      <c r="N59" s="68" t="str">
        <f t="shared" si="3"/>
        <v>-</v>
      </c>
      <c r="O59" s="41"/>
      <c r="P59" s="68" t="str">
        <f t="shared" si="4"/>
        <v>-</v>
      </c>
      <c r="Q59" s="41"/>
      <c r="R59" s="68" t="str">
        <f t="shared" si="5"/>
        <v>-</v>
      </c>
      <c r="S59" s="41"/>
      <c r="T59" s="68" t="str">
        <f t="shared" si="6"/>
        <v>-</v>
      </c>
      <c r="U59" s="41"/>
      <c r="V59" s="68" t="str">
        <f t="shared" si="7"/>
        <v>-</v>
      </c>
      <c r="W59" s="41"/>
      <c r="X59" s="68" t="str">
        <f t="shared" si="8"/>
        <v>-</v>
      </c>
      <c r="Y59" s="41"/>
      <c r="Z59" s="69" t="str">
        <f t="shared" si="9"/>
        <v>-</v>
      </c>
      <c r="AA59" s="13"/>
      <c r="AB59" s="85" t="str">
        <f t="shared" si="10"/>
        <v>-</v>
      </c>
      <c r="AC59" s="16"/>
      <c r="AD59" s="36" t="str">
        <f>IF(C59="","-", (VLOOKUP(C59, 'Attendance Sheet'!$C$7:$F$62,4,FALSE)))</f>
        <v>-</v>
      </c>
      <c r="AE59" s="18"/>
      <c r="AF59" s="89" t="str">
        <f>PRELIM!AF59</f>
        <v>-</v>
      </c>
      <c r="AG59" s="145" t="str">
        <f>IF(AB59 = "INC",
 "INC",
 IF(
  AB59 = "-",
  "-",
  VLOOKUP(AB59,'Grade Config'!$C$6:$D$37,2)
 )
)</f>
        <v>-</v>
      </c>
      <c r="AH59" s="92" t="str">
        <f t="shared" si="11"/>
        <v>-</v>
      </c>
      <c r="AI59" s="341"/>
      <c r="AJ59" s="342"/>
      <c r="AK59" s="14"/>
    </row>
    <row r="60" spans="2:37">
      <c r="B60" s="33">
        <v>44</v>
      </c>
      <c r="C60" s="57" t="str">
        <f>IF('Attendance Sheet'!C51 = "", "", 'Attendance Sheet'!C51)</f>
        <v/>
      </c>
      <c r="D60" s="57" t="str">
        <f>IF('Attendance Sheet'!D51 = "", "", 'Attendance Sheet'!D51)</f>
        <v/>
      </c>
      <c r="E60" s="61" t="str">
        <f>IF('Attendance Sheet'!E51 = "", "", 'Attendance Sheet'!E51)</f>
        <v/>
      </c>
      <c r="F60" s="19"/>
      <c r="G60" s="34"/>
      <c r="H60" s="68" t="str">
        <f t="shared" si="0"/>
        <v>-</v>
      </c>
      <c r="I60" s="41"/>
      <c r="J60" s="68" t="str">
        <f t="shared" si="1"/>
        <v>-</v>
      </c>
      <c r="K60" s="41"/>
      <c r="L60" s="68" t="str">
        <f t="shared" si="2"/>
        <v>-</v>
      </c>
      <c r="M60" s="41"/>
      <c r="N60" s="68" t="str">
        <f t="shared" si="3"/>
        <v>-</v>
      </c>
      <c r="O60" s="41"/>
      <c r="P60" s="68" t="str">
        <f t="shared" si="4"/>
        <v>-</v>
      </c>
      <c r="Q60" s="41"/>
      <c r="R60" s="68" t="str">
        <f t="shared" si="5"/>
        <v>-</v>
      </c>
      <c r="S60" s="41"/>
      <c r="T60" s="68" t="str">
        <f t="shared" si="6"/>
        <v>-</v>
      </c>
      <c r="U60" s="41"/>
      <c r="V60" s="68" t="str">
        <f t="shared" si="7"/>
        <v>-</v>
      </c>
      <c r="W60" s="41"/>
      <c r="X60" s="68" t="str">
        <f t="shared" si="8"/>
        <v>-</v>
      </c>
      <c r="Y60" s="41"/>
      <c r="Z60" s="69" t="str">
        <f t="shared" si="9"/>
        <v>-</v>
      </c>
      <c r="AA60" s="13"/>
      <c r="AB60" s="85" t="str">
        <f t="shared" si="10"/>
        <v>-</v>
      </c>
      <c r="AC60" s="16"/>
      <c r="AD60" s="36" t="str">
        <f>IF(C60="","-", (VLOOKUP(C60, 'Attendance Sheet'!$C$7:$F$62,4,FALSE)))</f>
        <v>-</v>
      </c>
      <c r="AE60" s="18"/>
      <c r="AF60" s="89" t="str">
        <f>PRELIM!AF60</f>
        <v>-</v>
      </c>
      <c r="AG60" s="145" t="str">
        <f>IF(AB60 = "INC",
 "INC",
 IF(
  AB60 = "-",
  "-",
  VLOOKUP(AB60,'Grade Config'!$C$6:$D$37,2)
 )
)</f>
        <v>-</v>
      </c>
      <c r="AH60" s="92" t="str">
        <f t="shared" si="11"/>
        <v>-</v>
      </c>
      <c r="AI60" s="341"/>
      <c r="AJ60" s="342"/>
      <c r="AK60" s="14"/>
    </row>
    <row r="61" spans="2:37">
      <c r="B61" s="33">
        <v>45</v>
      </c>
      <c r="C61" s="57" t="str">
        <f>IF('Attendance Sheet'!C52 = "", "", 'Attendance Sheet'!C52)</f>
        <v/>
      </c>
      <c r="D61" s="57" t="str">
        <f>IF('Attendance Sheet'!D52 = "", "", 'Attendance Sheet'!D52)</f>
        <v/>
      </c>
      <c r="E61" s="61" t="str">
        <f>IF('Attendance Sheet'!E52 = "", "", 'Attendance Sheet'!E52)</f>
        <v/>
      </c>
      <c r="F61" s="19"/>
      <c r="G61" s="34"/>
      <c r="H61" s="68" t="str">
        <f t="shared" si="0"/>
        <v>-</v>
      </c>
      <c r="I61" s="41"/>
      <c r="J61" s="68" t="str">
        <f t="shared" si="1"/>
        <v>-</v>
      </c>
      <c r="K61" s="41"/>
      <c r="L61" s="68" t="str">
        <f t="shared" si="2"/>
        <v>-</v>
      </c>
      <c r="M61" s="41"/>
      <c r="N61" s="68" t="str">
        <f t="shared" si="3"/>
        <v>-</v>
      </c>
      <c r="O61" s="41"/>
      <c r="P61" s="68" t="str">
        <f t="shared" si="4"/>
        <v>-</v>
      </c>
      <c r="Q61" s="41"/>
      <c r="R61" s="68" t="str">
        <f t="shared" si="5"/>
        <v>-</v>
      </c>
      <c r="S61" s="41"/>
      <c r="T61" s="68" t="str">
        <f t="shared" si="6"/>
        <v>-</v>
      </c>
      <c r="U61" s="41"/>
      <c r="V61" s="68" t="str">
        <f t="shared" si="7"/>
        <v>-</v>
      </c>
      <c r="W61" s="41"/>
      <c r="X61" s="68" t="str">
        <f t="shared" si="8"/>
        <v>-</v>
      </c>
      <c r="Y61" s="41"/>
      <c r="Z61" s="69" t="str">
        <f t="shared" si="9"/>
        <v>-</v>
      </c>
      <c r="AA61" s="13"/>
      <c r="AB61" s="85" t="str">
        <f t="shared" si="10"/>
        <v>-</v>
      </c>
      <c r="AC61" s="16"/>
      <c r="AD61" s="36" t="str">
        <f>IF(C61="","-", (VLOOKUP(C61, 'Attendance Sheet'!$C$7:$F$62,4,FALSE)))</f>
        <v>-</v>
      </c>
      <c r="AE61" s="18"/>
      <c r="AF61" s="89" t="str">
        <f>PRELIM!AF61</f>
        <v>-</v>
      </c>
      <c r="AG61" s="145" t="str">
        <f>IF(AB61 = "INC",
 "INC",
 IF(
  AB61 = "-",
  "-",
  VLOOKUP(AB61,'Grade Config'!$C$6:$D$37,2)
 )
)</f>
        <v>-</v>
      </c>
      <c r="AH61" s="92" t="str">
        <f t="shared" si="11"/>
        <v>-</v>
      </c>
      <c r="AI61" s="341"/>
      <c r="AJ61" s="342"/>
      <c r="AK61" s="14"/>
    </row>
    <row r="62" spans="2:37">
      <c r="B62" s="33">
        <v>46</v>
      </c>
      <c r="C62" s="57" t="str">
        <f>IF('Attendance Sheet'!C53 = "", "", 'Attendance Sheet'!C53)</f>
        <v/>
      </c>
      <c r="D62" s="57" t="str">
        <f>IF('Attendance Sheet'!D53 = "", "", 'Attendance Sheet'!D53)</f>
        <v/>
      </c>
      <c r="E62" s="61" t="str">
        <f>IF('Attendance Sheet'!E53 = "", "", 'Attendance Sheet'!E53)</f>
        <v/>
      </c>
      <c r="F62" s="19"/>
      <c r="G62" s="34"/>
      <c r="H62" s="68" t="str">
        <f t="shared" si="0"/>
        <v>-</v>
      </c>
      <c r="I62" s="41"/>
      <c r="J62" s="68" t="str">
        <f t="shared" si="1"/>
        <v>-</v>
      </c>
      <c r="K62" s="41"/>
      <c r="L62" s="68" t="str">
        <f t="shared" si="2"/>
        <v>-</v>
      </c>
      <c r="M62" s="41"/>
      <c r="N62" s="68" t="str">
        <f t="shared" si="3"/>
        <v>-</v>
      </c>
      <c r="O62" s="41"/>
      <c r="P62" s="68" t="str">
        <f t="shared" si="4"/>
        <v>-</v>
      </c>
      <c r="Q62" s="41"/>
      <c r="R62" s="68" t="str">
        <f t="shared" si="5"/>
        <v>-</v>
      </c>
      <c r="S62" s="41"/>
      <c r="T62" s="68" t="str">
        <f t="shared" si="6"/>
        <v>-</v>
      </c>
      <c r="U62" s="41"/>
      <c r="V62" s="68" t="str">
        <f t="shared" si="7"/>
        <v>-</v>
      </c>
      <c r="W62" s="41"/>
      <c r="X62" s="68" t="str">
        <f t="shared" si="8"/>
        <v>-</v>
      </c>
      <c r="Y62" s="41"/>
      <c r="Z62" s="69" t="str">
        <f t="shared" si="9"/>
        <v>-</v>
      </c>
      <c r="AA62" s="13"/>
      <c r="AB62" s="85" t="str">
        <f t="shared" si="10"/>
        <v>-</v>
      </c>
      <c r="AC62" s="16"/>
      <c r="AD62" s="36" t="str">
        <f>IF(C62="","-", (VLOOKUP(C62, 'Attendance Sheet'!$C$7:$F$62,4,FALSE)))</f>
        <v>-</v>
      </c>
      <c r="AE62" s="18"/>
      <c r="AF62" s="89" t="str">
        <f>PRELIM!AF62</f>
        <v>-</v>
      </c>
      <c r="AG62" s="145" t="str">
        <f>IF(AB62 = "INC",
 "INC",
 IF(
  AB62 = "-",
  "-",
  VLOOKUP(AB62,'Grade Config'!$C$6:$D$37,2)
 )
)</f>
        <v>-</v>
      </c>
      <c r="AH62" s="92" t="str">
        <f t="shared" si="11"/>
        <v>-</v>
      </c>
      <c r="AI62" s="341"/>
      <c r="AJ62" s="342"/>
      <c r="AK62" s="14"/>
    </row>
    <row r="63" spans="2:37">
      <c r="B63" s="33">
        <v>47</v>
      </c>
      <c r="C63" s="57" t="str">
        <f>IF('Attendance Sheet'!C54 = "", "", 'Attendance Sheet'!C54)</f>
        <v/>
      </c>
      <c r="D63" s="57" t="str">
        <f>IF('Attendance Sheet'!D54 = "", "", 'Attendance Sheet'!D54)</f>
        <v/>
      </c>
      <c r="E63" s="61" t="str">
        <f>IF('Attendance Sheet'!E54 = "", "", 'Attendance Sheet'!E54)</f>
        <v/>
      </c>
      <c r="F63" s="19"/>
      <c r="G63" s="34"/>
      <c r="H63" s="68" t="str">
        <f t="shared" si="0"/>
        <v>-</v>
      </c>
      <c r="I63" s="41"/>
      <c r="J63" s="68" t="str">
        <f t="shared" si="1"/>
        <v>-</v>
      </c>
      <c r="K63" s="41"/>
      <c r="L63" s="68" t="str">
        <f t="shared" si="2"/>
        <v>-</v>
      </c>
      <c r="M63" s="41"/>
      <c r="N63" s="68" t="str">
        <f t="shared" si="3"/>
        <v>-</v>
      </c>
      <c r="O63" s="41"/>
      <c r="P63" s="68" t="str">
        <f t="shared" si="4"/>
        <v>-</v>
      </c>
      <c r="Q63" s="41"/>
      <c r="R63" s="68" t="str">
        <f t="shared" si="5"/>
        <v>-</v>
      </c>
      <c r="S63" s="41"/>
      <c r="T63" s="68" t="str">
        <f t="shared" si="6"/>
        <v>-</v>
      </c>
      <c r="U63" s="41"/>
      <c r="V63" s="68" t="str">
        <f t="shared" si="7"/>
        <v>-</v>
      </c>
      <c r="W63" s="41"/>
      <c r="X63" s="68" t="str">
        <f t="shared" si="8"/>
        <v>-</v>
      </c>
      <c r="Y63" s="41"/>
      <c r="Z63" s="69" t="str">
        <f t="shared" si="9"/>
        <v>-</v>
      </c>
      <c r="AA63" s="13"/>
      <c r="AB63" s="85" t="str">
        <f t="shared" si="10"/>
        <v>-</v>
      </c>
      <c r="AC63" s="16"/>
      <c r="AD63" s="36" t="str">
        <f>IF(C63="","-", (VLOOKUP(C63, 'Attendance Sheet'!$C$7:$F$62,4,FALSE)))</f>
        <v>-</v>
      </c>
      <c r="AE63" s="18"/>
      <c r="AF63" s="89" t="str">
        <f>PRELIM!AF63</f>
        <v>-</v>
      </c>
      <c r="AG63" s="145" t="str">
        <f>IF(AB63 = "INC",
 "INC",
 IF(
  AB63 = "-",
  "-",
  VLOOKUP(AB63,'Grade Config'!$C$6:$D$37,2)
 )
)</f>
        <v>-</v>
      </c>
      <c r="AH63" s="92" t="str">
        <f t="shared" si="11"/>
        <v>-</v>
      </c>
      <c r="AI63" s="341"/>
      <c r="AJ63" s="342"/>
      <c r="AK63" s="14"/>
    </row>
    <row r="64" spans="2:37">
      <c r="B64" s="33">
        <v>48</v>
      </c>
      <c r="C64" s="57" t="str">
        <f>IF('Attendance Sheet'!C55 = "", "", 'Attendance Sheet'!C55)</f>
        <v/>
      </c>
      <c r="D64" s="57" t="str">
        <f>IF('Attendance Sheet'!D55 = "", "", 'Attendance Sheet'!D55)</f>
        <v/>
      </c>
      <c r="E64" s="61" t="str">
        <f>IF('Attendance Sheet'!E55 = "", "", 'Attendance Sheet'!E55)</f>
        <v/>
      </c>
      <c r="F64" s="19"/>
      <c r="G64" s="34"/>
      <c r="H64" s="68" t="str">
        <f t="shared" si="0"/>
        <v>-</v>
      </c>
      <c r="I64" s="41"/>
      <c r="J64" s="68" t="str">
        <f t="shared" si="1"/>
        <v>-</v>
      </c>
      <c r="K64" s="41"/>
      <c r="L64" s="68" t="str">
        <f t="shared" si="2"/>
        <v>-</v>
      </c>
      <c r="M64" s="41"/>
      <c r="N64" s="68" t="str">
        <f t="shared" si="3"/>
        <v>-</v>
      </c>
      <c r="O64" s="41"/>
      <c r="P64" s="68" t="str">
        <f t="shared" si="4"/>
        <v>-</v>
      </c>
      <c r="Q64" s="41"/>
      <c r="R64" s="68" t="str">
        <f t="shared" si="5"/>
        <v>-</v>
      </c>
      <c r="S64" s="41"/>
      <c r="T64" s="68" t="str">
        <f t="shared" si="6"/>
        <v>-</v>
      </c>
      <c r="U64" s="41"/>
      <c r="V64" s="68" t="str">
        <f t="shared" si="7"/>
        <v>-</v>
      </c>
      <c r="W64" s="41"/>
      <c r="X64" s="68" t="str">
        <f t="shared" si="8"/>
        <v>-</v>
      </c>
      <c r="Y64" s="41"/>
      <c r="Z64" s="69" t="str">
        <f t="shared" si="9"/>
        <v>-</v>
      </c>
      <c r="AA64" s="13"/>
      <c r="AB64" s="85" t="str">
        <f t="shared" si="10"/>
        <v>-</v>
      </c>
      <c r="AC64" s="16"/>
      <c r="AD64" s="36" t="str">
        <f>IF(C64="","-", (VLOOKUP(C64, 'Attendance Sheet'!$C$7:$F$62,4,FALSE)))</f>
        <v>-</v>
      </c>
      <c r="AE64" s="18"/>
      <c r="AF64" s="89" t="str">
        <f>PRELIM!AF64</f>
        <v>-</v>
      </c>
      <c r="AG64" s="145" t="str">
        <f>IF(AB64 = "INC",
 "INC",
 IF(
  AB64 = "-",
  "-",
  VLOOKUP(AB64,'Grade Config'!$C$6:$D$37,2)
 )
)</f>
        <v>-</v>
      </c>
      <c r="AH64" s="92" t="str">
        <f t="shared" si="11"/>
        <v>-</v>
      </c>
      <c r="AI64" s="341"/>
      <c r="AJ64" s="342"/>
      <c r="AK64" s="14"/>
    </row>
    <row r="65" spans="2:37">
      <c r="B65" s="33">
        <v>49</v>
      </c>
      <c r="C65" s="57" t="str">
        <f>IF('Attendance Sheet'!C56 = "", "", 'Attendance Sheet'!C56)</f>
        <v/>
      </c>
      <c r="D65" s="57" t="str">
        <f>IF('Attendance Sheet'!D56 = "", "", 'Attendance Sheet'!D56)</f>
        <v/>
      </c>
      <c r="E65" s="61" t="str">
        <f>IF('Attendance Sheet'!E56 = "", "", 'Attendance Sheet'!E56)</f>
        <v/>
      </c>
      <c r="F65" s="19"/>
      <c r="G65" s="34"/>
      <c r="H65" s="68" t="str">
        <f t="shared" si="0"/>
        <v>-</v>
      </c>
      <c r="I65" s="41"/>
      <c r="J65" s="68" t="str">
        <f t="shared" si="1"/>
        <v>-</v>
      </c>
      <c r="K65" s="41"/>
      <c r="L65" s="68" t="str">
        <f t="shared" si="2"/>
        <v>-</v>
      </c>
      <c r="M65" s="41"/>
      <c r="N65" s="68" t="str">
        <f t="shared" si="3"/>
        <v>-</v>
      </c>
      <c r="O65" s="41"/>
      <c r="P65" s="68" t="str">
        <f t="shared" si="4"/>
        <v>-</v>
      </c>
      <c r="Q65" s="41"/>
      <c r="R65" s="68" t="str">
        <f t="shared" si="5"/>
        <v>-</v>
      </c>
      <c r="S65" s="41"/>
      <c r="T65" s="68" t="str">
        <f t="shared" si="6"/>
        <v>-</v>
      </c>
      <c r="U65" s="41"/>
      <c r="V65" s="68" t="str">
        <f t="shared" si="7"/>
        <v>-</v>
      </c>
      <c r="W65" s="41"/>
      <c r="X65" s="68" t="str">
        <f t="shared" si="8"/>
        <v>-</v>
      </c>
      <c r="Y65" s="41"/>
      <c r="Z65" s="69" t="str">
        <f t="shared" si="9"/>
        <v>-</v>
      </c>
      <c r="AA65" s="13"/>
      <c r="AB65" s="85" t="str">
        <f t="shared" si="10"/>
        <v>-</v>
      </c>
      <c r="AC65" s="16"/>
      <c r="AD65" s="36" t="str">
        <f>IF(C65="","-", (VLOOKUP(C65, 'Attendance Sheet'!$C$7:$F$62,4,FALSE)))</f>
        <v>-</v>
      </c>
      <c r="AE65" s="18"/>
      <c r="AF65" s="89" t="str">
        <f>PRELIM!AF65</f>
        <v>-</v>
      </c>
      <c r="AG65" s="145" t="str">
        <f>IF(AB65 = "INC",
 "INC",
 IF(
  AB65 = "-",
  "-",
  VLOOKUP(AB65,'Grade Config'!$C$6:$D$37,2)
 )
)</f>
        <v>-</v>
      </c>
      <c r="AH65" s="92" t="str">
        <f t="shared" si="11"/>
        <v>-</v>
      </c>
      <c r="AI65" s="341"/>
      <c r="AJ65" s="342"/>
      <c r="AK65" s="14"/>
    </row>
    <row r="66" spans="2:37">
      <c r="B66" s="33">
        <v>50</v>
      </c>
      <c r="C66" s="57" t="str">
        <f>IF('Attendance Sheet'!C57 = "", "", 'Attendance Sheet'!C57)</f>
        <v/>
      </c>
      <c r="D66" s="57" t="str">
        <f>IF('Attendance Sheet'!D57 = "", "", 'Attendance Sheet'!D57)</f>
        <v/>
      </c>
      <c r="E66" s="61" t="str">
        <f>IF('Attendance Sheet'!E57 = "", "", 'Attendance Sheet'!E57)</f>
        <v/>
      </c>
      <c r="F66" s="19"/>
      <c r="G66" s="34"/>
      <c r="H66" s="68" t="str">
        <f t="shared" si="0"/>
        <v>-</v>
      </c>
      <c r="I66" s="41"/>
      <c r="J66" s="68" t="str">
        <f t="shared" si="1"/>
        <v>-</v>
      </c>
      <c r="K66" s="41"/>
      <c r="L66" s="68" t="str">
        <f t="shared" si="2"/>
        <v>-</v>
      </c>
      <c r="M66" s="41"/>
      <c r="N66" s="68" t="str">
        <f t="shared" si="3"/>
        <v>-</v>
      </c>
      <c r="O66" s="41"/>
      <c r="P66" s="68" t="str">
        <f t="shared" si="4"/>
        <v>-</v>
      </c>
      <c r="Q66" s="41"/>
      <c r="R66" s="68" t="str">
        <f t="shared" si="5"/>
        <v>-</v>
      </c>
      <c r="S66" s="41"/>
      <c r="T66" s="68" t="str">
        <f t="shared" si="6"/>
        <v>-</v>
      </c>
      <c r="U66" s="41"/>
      <c r="V66" s="68" t="str">
        <f t="shared" si="7"/>
        <v>-</v>
      </c>
      <c r="W66" s="41"/>
      <c r="X66" s="68" t="str">
        <f t="shared" si="8"/>
        <v>-</v>
      </c>
      <c r="Y66" s="41"/>
      <c r="Z66" s="69" t="str">
        <f t="shared" si="9"/>
        <v>-</v>
      </c>
      <c r="AA66" s="13"/>
      <c r="AB66" s="85" t="str">
        <f t="shared" si="10"/>
        <v>-</v>
      </c>
      <c r="AC66" s="16"/>
      <c r="AD66" s="36" t="str">
        <f>IF(C66="","-", (VLOOKUP(C66, 'Attendance Sheet'!$C$7:$F$62,4,FALSE)))</f>
        <v>-</v>
      </c>
      <c r="AE66" s="18"/>
      <c r="AF66" s="89" t="str">
        <f>PRELIM!AF66</f>
        <v>-</v>
      </c>
      <c r="AG66" s="145" t="str">
        <f>IF(AB66 = "INC",
 "INC",
 IF(
  AB66 = "-",
  "-",
  VLOOKUP(AB66,'Grade Config'!$C$6:$D$37,2)
 )
)</f>
        <v>-</v>
      </c>
      <c r="AH66" s="92" t="str">
        <f t="shared" si="11"/>
        <v>-</v>
      </c>
      <c r="AI66" s="341"/>
      <c r="AJ66" s="342"/>
      <c r="AK66" s="14"/>
    </row>
    <row r="67" spans="2:37">
      <c r="B67" s="33">
        <v>51</v>
      </c>
      <c r="C67" s="57" t="str">
        <f>IF('Attendance Sheet'!C58 = "", "", 'Attendance Sheet'!C58)</f>
        <v/>
      </c>
      <c r="D67" s="57" t="str">
        <f>IF('Attendance Sheet'!D58 = "", "", 'Attendance Sheet'!D58)</f>
        <v/>
      </c>
      <c r="E67" s="61" t="str">
        <f>IF('Attendance Sheet'!E58 = "", "", 'Attendance Sheet'!E58)</f>
        <v/>
      </c>
      <c r="F67" s="19"/>
      <c r="G67" s="34"/>
      <c r="H67" s="68" t="str">
        <f t="shared" si="0"/>
        <v>-</v>
      </c>
      <c r="I67" s="41"/>
      <c r="J67" s="68" t="str">
        <f t="shared" si="1"/>
        <v>-</v>
      </c>
      <c r="K67" s="41"/>
      <c r="L67" s="68" t="str">
        <f t="shared" si="2"/>
        <v>-</v>
      </c>
      <c r="M67" s="41"/>
      <c r="N67" s="68" t="str">
        <f t="shared" si="3"/>
        <v>-</v>
      </c>
      <c r="O67" s="41"/>
      <c r="P67" s="68" t="str">
        <f t="shared" si="4"/>
        <v>-</v>
      </c>
      <c r="Q67" s="41"/>
      <c r="R67" s="68" t="str">
        <f t="shared" si="5"/>
        <v>-</v>
      </c>
      <c r="S67" s="41"/>
      <c r="T67" s="68" t="str">
        <f t="shared" si="6"/>
        <v>-</v>
      </c>
      <c r="U67" s="41"/>
      <c r="V67" s="68" t="str">
        <f t="shared" si="7"/>
        <v>-</v>
      </c>
      <c r="W67" s="41"/>
      <c r="X67" s="68" t="str">
        <f t="shared" si="8"/>
        <v>-</v>
      </c>
      <c r="Y67" s="41"/>
      <c r="Z67" s="69" t="str">
        <f t="shared" si="9"/>
        <v>-</v>
      </c>
      <c r="AA67" s="13"/>
      <c r="AB67" s="85" t="str">
        <f t="shared" si="10"/>
        <v>-</v>
      </c>
      <c r="AC67" s="16"/>
      <c r="AD67" s="36" t="str">
        <f>IF(C67="","-", (VLOOKUP(C67, 'Attendance Sheet'!$C$7:$F$62,4,FALSE)))</f>
        <v>-</v>
      </c>
      <c r="AE67" s="18"/>
      <c r="AF67" s="89" t="str">
        <f>PRELIM!AF67</f>
        <v>-</v>
      </c>
      <c r="AG67" s="145" t="str">
        <f>IF(AB67 = "INC",
 "INC",
 IF(
  AB67 = "-",
  "-",
  VLOOKUP(AB67,'Grade Config'!$C$6:$D$37,2)
 )
)</f>
        <v>-</v>
      </c>
      <c r="AH67" s="92" t="str">
        <f t="shared" si="11"/>
        <v>-</v>
      </c>
      <c r="AI67" s="341"/>
      <c r="AJ67" s="342"/>
      <c r="AK67" s="14"/>
    </row>
    <row r="68" spans="2:37">
      <c r="B68" s="33">
        <v>52</v>
      </c>
      <c r="C68" s="57" t="str">
        <f>IF('Attendance Sheet'!C59 = "", "", 'Attendance Sheet'!C59)</f>
        <v/>
      </c>
      <c r="D68" s="57" t="str">
        <f>IF('Attendance Sheet'!D59 = "", "", 'Attendance Sheet'!D59)</f>
        <v/>
      </c>
      <c r="E68" s="61" t="str">
        <f>IF('Attendance Sheet'!E59 = "", "", 'Attendance Sheet'!E59)</f>
        <v/>
      </c>
      <c r="F68" s="19"/>
      <c r="G68" s="34"/>
      <c r="H68" s="68" t="str">
        <f t="shared" si="0"/>
        <v>-</v>
      </c>
      <c r="I68" s="41"/>
      <c r="J68" s="68" t="str">
        <f t="shared" si="1"/>
        <v>-</v>
      </c>
      <c r="K68" s="41"/>
      <c r="L68" s="68" t="str">
        <f t="shared" si="2"/>
        <v>-</v>
      </c>
      <c r="M68" s="41"/>
      <c r="N68" s="68" t="str">
        <f t="shared" si="3"/>
        <v>-</v>
      </c>
      <c r="O68" s="41"/>
      <c r="P68" s="68" t="str">
        <f t="shared" si="4"/>
        <v>-</v>
      </c>
      <c r="Q68" s="41"/>
      <c r="R68" s="68" t="str">
        <f t="shared" si="5"/>
        <v>-</v>
      </c>
      <c r="S68" s="41"/>
      <c r="T68" s="68" t="str">
        <f t="shared" si="6"/>
        <v>-</v>
      </c>
      <c r="U68" s="41"/>
      <c r="V68" s="68" t="str">
        <f t="shared" si="7"/>
        <v>-</v>
      </c>
      <c r="W68" s="41"/>
      <c r="X68" s="68" t="str">
        <f t="shared" si="8"/>
        <v>-</v>
      </c>
      <c r="Y68" s="41"/>
      <c r="Z68" s="69" t="str">
        <f t="shared" si="9"/>
        <v>-</v>
      </c>
      <c r="AA68" s="13"/>
      <c r="AB68" s="85" t="str">
        <f t="shared" si="10"/>
        <v>-</v>
      </c>
      <c r="AC68" s="16"/>
      <c r="AD68" s="36" t="str">
        <f>IF(C68="","-", (VLOOKUP(C68, 'Attendance Sheet'!$C$7:$F$62,4,FALSE)))</f>
        <v>-</v>
      </c>
      <c r="AE68" s="18"/>
      <c r="AF68" s="89" t="str">
        <f>PRELIM!AF68</f>
        <v>-</v>
      </c>
      <c r="AG68" s="145" t="str">
        <f>IF(AB68 = "INC",
 "INC",
 IF(
  AB68 = "-",
  "-",
  VLOOKUP(AB68,'Grade Config'!$C$6:$D$37,2)
 )
)</f>
        <v>-</v>
      </c>
      <c r="AH68" s="92" t="str">
        <f t="shared" si="11"/>
        <v>-</v>
      </c>
      <c r="AI68" s="341"/>
      <c r="AJ68" s="342"/>
      <c r="AK68" s="14"/>
    </row>
    <row r="69" spans="2:37">
      <c r="B69" s="33">
        <v>53</v>
      </c>
      <c r="C69" s="57" t="str">
        <f>IF('Attendance Sheet'!C60 = "", "", 'Attendance Sheet'!C60)</f>
        <v/>
      </c>
      <c r="D69" s="57" t="str">
        <f>IF('Attendance Sheet'!D60 = "", "", 'Attendance Sheet'!D60)</f>
        <v/>
      </c>
      <c r="E69" s="61" t="str">
        <f>IF('Attendance Sheet'!E60 = "", "", 'Attendance Sheet'!E60)</f>
        <v/>
      </c>
      <c r="F69" s="19"/>
      <c r="G69" s="34"/>
      <c r="H69" s="68" t="str">
        <f t="shared" si="0"/>
        <v>-</v>
      </c>
      <c r="I69" s="41"/>
      <c r="J69" s="68" t="str">
        <f t="shared" si="1"/>
        <v>-</v>
      </c>
      <c r="K69" s="41"/>
      <c r="L69" s="68" t="str">
        <f t="shared" si="2"/>
        <v>-</v>
      </c>
      <c r="M69" s="41"/>
      <c r="N69" s="68" t="str">
        <f t="shared" si="3"/>
        <v>-</v>
      </c>
      <c r="O69" s="41"/>
      <c r="P69" s="68" t="str">
        <f t="shared" si="4"/>
        <v>-</v>
      </c>
      <c r="Q69" s="41"/>
      <c r="R69" s="68" t="str">
        <f t="shared" si="5"/>
        <v>-</v>
      </c>
      <c r="S69" s="41"/>
      <c r="T69" s="68" t="str">
        <f t="shared" si="6"/>
        <v>-</v>
      </c>
      <c r="U69" s="41"/>
      <c r="V69" s="68" t="str">
        <f t="shared" si="7"/>
        <v>-</v>
      </c>
      <c r="W69" s="41"/>
      <c r="X69" s="68" t="str">
        <f t="shared" si="8"/>
        <v>-</v>
      </c>
      <c r="Y69" s="41"/>
      <c r="Z69" s="69" t="str">
        <f t="shared" si="9"/>
        <v>-</v>
      </c>
      <c r="AA69" s="13"/>
      <c r="AB69" s="85" t="str">
        <f t="shared" si="10"/>
        <v>-</v>
      </c>
      <c r="AC69" s="16"/>
      <c r="AD69" s="36" t="str">
        <f>IF(C69="","-", (VLOOKUP(C69, 'Attendance Sheet'!$C$7:$F$62,4,FALSE)))</f>
        <v>-</v>
      </c>
      <c r="AE69" s="18"/>
      <c r="AF69" s="89" t="str">
        <f>PRELIM!AF69</f>
        <v>-</v>
      </c>
      <c r="AG69" s="145" t="str">
        <f>IF(AB69 = "INC",
 "INC",
 IF(
  AB69 = "-",
  "-",
  VLOOKUP(AB69,'Grade Config'!$C$6:$D$37,2)
 )
)</f>
        <v>-</v>
      </c>
      <c r="AH69" s="92" t="str">
        <f t="shared" si="11"/>
        <v>-</v>
      </c>
      <c r="AI69" s="341"/>
      <c r="AJ69" s="342"/>
      <c r="AK69" s="14"/>
    </row>
    <row r="70" spans="2:37">
      <c r="B70" s="33">
        <v>54</v>
      </c>
      <c r="C70" s="57" t="str">
        <f>IF('Attendance Sheet'!C61 = "", "", 'Attendance Sheet'!C61)</f>
        <v/>
      </c>
      <c r="D70" s="57" t="str">
        <f>IF('Attendance Sheet'!D61 = "", "", 'Attendance Sheet'!D61)</f>
        <v/>
      </c>
      <c r="E70" s="61" t="str">
        <f>IF('Attendance Sheet'!E61 = "", "", 'Attendance Sheet'!E61)</f>
        <v/>
      </c>
      <c r="F70" s="19"/>
      <c r="G70" s="34"/>
      <c r="H70" s="68" t="str">
        <f t="shared" si="0"/>
        <v>-</v>
      </c>
      <c r="I70" s="41"/>
      <c r="J70" s="68" t="str">
        <f t="shared" si="1"/>
        <v>-</v>
      </c>
      <c r="K70" s="41"/>
      <c r="L70" s="68" t="str">
        <f t="shared" si="2"/>
        <v>-</v>
      </c>
      <c r="M70" s="41"/>
      <c r="N70" s="68" t="str">
        <f t="shared" si="3"/>
        <v>-</v>
      </c>
      <c r="O70" s="41"/>
      <c r="P70" s="68" t="str">
        <f t="shared" si="4"/>
        <v>-</v>
      </c>
      <c r="Q70" s="41"/>
      <c r="R70" s="68" t="str">
        <f t="shared" si="5"/>
        <v>-</v>
      </c>
      <c r="S70" s="41"/>
      <c r="T70" s="68" t="str">
        <f t="shared" si="6"/>
        <v>-</v>
      </c>
      <c r="U70" s="41"/>
      <c r="V70" s="68" t="str">
        <f t="shared" si="7"/>
        <v>-</v>
      </c>
      <c r="W70" s="41"/>
      <c r="X70" s="68" t="str">
        <f t="shared" si="8"/>
        <v>-</v>
      </c>
      <c r="Y70" s="41"/>
      <c r="Z70" s="69" t="str">
        <f t="shared" si="9"/>
        <v>-</v>
      </c>
      <c r="AA70" s="13"/>
      <c r="AB70" s="85" t="str">
        <f t="shared" si="10"/>
        <v>-</v>
      </c>
      <c r="AC70" s="16"/>
      <c r="AD70" s="36" t="str">
        <f>IF(C70="","-", (VLOOKUP(C70, 'Attendance Sheet'!$C$7:$F$62,4,FALSE)))</f>
        <v>-</v>
      </c>
      <c r="AE70" s="18"/>
      <c r="AF70" s="89" t="str">
        <f>PRELIM!AF70</f>
        <v>-</v>
      </c>
      <c r="AG70" s="145" t="str">
        <f>IF(AB70 = "INC",
 "INC",
 IF(
  AB70 = "-",
  "-",
  VLOOKUP(AB70,'Grade Config'!$C$6:$D$37,2)
 )
)</f>
        <v>-</v>
      </c>
      <c r="AH70" s="92" t="str">
        <f t="shared" si="11"/>
        <v>-</v>
      </c>
      <c r="AI70" s="341"/>
      <c r="AJ70" s="342"/>
      <c r="AK70" s="14"/>
    </row>
    <row r="71" spans="2:37" ht="15.6" customHeight="1" thickBot="1">
      <c r="B71" s="65">
        <v>55</v>
      </c>
      <c r="C71" s="59" t="str">
        <f>IF('Attendance Sheet'!C62 = "", "", 'Attendance Sheet'!C62)</f>
        <v/>
      </c>
      <c r="D71" s="59" t="str">
        <f>IF('Attendance Sheet'!D62 = "", "", 'Attendance Sheet'!D62)</f>
        <v/>
      </c>
      <c r="E71" s="62" t="str">
        <f>IF('Attendance Sheet'!E62 = "", "", 'Attendance Sheet'!E62)</f>
        <v/>
      </c>
      <c r="F71" s="19"/>
      <c r="G71" s="35"/>
      <c r="H71" s="66" t="str">
        <f t="shared" si="0"/>
        <v>-</v>
      </c>
      <c r="I71" s="42"/>
      <c r="J71" s="66" t="str">
        <f t="shared" si="1"/>
        <v>-</v>
      </c>
      <c r="K71" s="42"/>
      <c r="L71" s="66" t="str">
        <f t="shared" si="2"/>
        <v>-</v>
      </c>
      <c r="M71" s="42"/>
      <c r="N71" s="66" t="str">
        <f t="shared" si="3"/>
        <v>-</v>
      </c>
      <c r="O71" s="42"/>
      <c r="P71" s="66" t="str">
        <f t="shared" si="4"/>
        <v>-</v>
      </c>
      <c r="Q71" s="42"/>
      <c r="R71" s="66" t="str">
        <f t="shared" si="5"/>
        <v>-</v>
      </c>
      <c r="S71" s="42"/>
      <c r="T71" s="66" t="str">
        <f t="shared" si="6"/>
        <v>-</v>
      </c>
      <c r="U71" s="42"/>
      <c r="V71" s="66" t="str">
        <f t="shared" si="7"/>
        <v>-</v>
      </c>
      <c r="W71" s="42"/>
      <c r="X71" s="66" t="str">
        <f t="shared" si="8"/>
        <v>-</v>
      </c>
      <c r="Y71" s="42"/>
      <c r="Z71" s="67" t="str">
        <f t="shared" si="9"/>
        <v>-</v>
      </c>
      <c r="AA71" s="13"/>
      <c r="AB71" s="83" t="str">
        <f t="shared" si="10"/>
        <v>-</v>
      </c>
      <c r="AC71" s="16"/>
      <c r="AD71" s="37" t="str">
        <f>IF(C71="","-", (VLOOKUP(C71, 'Attendance Sheet'!$C$7:$F$62,4,FALSE)))</f>
        <v>-</v>
      </c>
      <c r="AE71" s="18"/>
      <c r="AF71" s="77" t="str">
        <f>PRELIM!AF71</f>
        <v>-</v>
      </c>
      <c r="AG71" s="144" t="str">
        <f>IF(AB71 = "INC",
 "INC",
 IF(
  AB71 = "-",
  "-",
  VLOOKUP(AB71,'Grade Config'!$C$6:$D$37,2)
 )
)</f>
        <v>-</v>
      </c>
      <c r="AH71" s="93" t="str">
        <f t="shared" si="11"/>
        <v>-</v>
      </c>
      <c r="AI71" s="353"/>
      <c r="AJ71" s="354"/>
      <c r="AK71" s="14"/>
    </row>
    <row r="72" spans="2:37" ht="14.4" customHeight="1" thickTop="1">
      <c r="B72" s="258" t="s">
        <v>18</v>
      </c>
      <c r="C72" s="259"/>
      <c r="D72" s="259"/>
      <c r="E72" s="260"/>
      <c r="F72" s="313"/>
      <c r="G72" s="321"/>
      <c r="H72" s="267"/>
      <c r="I72" s="270"/>
      <c r="J72" s="267"/>
      <c r="K72" s="270"/>
      <c r="L72" s="267"/>
      <c r="M72" s="270"/>
      <c r="N72" s="267"/>
      <c r="O72" s="270"/>
      <c r="P72" s="267"/>
      <c r="Q72" s="270"/>
      <c r="R72" s="267"/>
      <c r="S72" s="270"/>
      <c r="T72" s="267"/>
      <c r="U72" s="270"/>
      <c r="V72" s="267"/>
      <c r="W72" s="270"/>
      <c r="X72" s="267"/>
      <c r="Y72" s="270"/>
      <c r="Z72" s="282"/>
      <c r="AA72" s="314"/>
      <c r="AB72" s="273"/>
      <c r="AC72" s="315"/>
      <c r="AD72" s="276"/>
      <c r="AE72" s="316"/>
      <c r="AF72" s="358"/>
      <c r="AG72" s="355"/>
      <c r="AH72" s="361"/>
      <c r="AI72" s="364"/>
      <c r="AJ72" s="365"/>
      <c r="AK72" s="14"/>
    </row>
    <row r="73" spans="2:37" ht="14.4" customHeight="1">
      <c r="B73" s="261"/>
      <c r="C73" s="262"/>
      <c r="D73" s="262"/>
      <c r="E73" s="263"/>
      <c r="F73" s="313"/>
      <c r="G73" s="322"/>
      <c r="H73" s="268"/>
      <c r="I73" s="271"/>
      <c r="J73" s="268"/>
      <c r="K73" s="271"/>
      <c r="L73" s="268"/>
      <c r="M73" s="271"/>
      <c r="N73" s="268"/>
      <c r="O73" s="271"/>
      <c r="P73" s="268"/>
      <c r="Q73" s="271"/>
      <c r="R73" s="268"/>
      <c r="S73" s="271"/>
      <c r="T73" s="268"/>
      <c r="U73" s="271"/>
      <c r="V73" s="268"/>
      <c r="W73" s="271"/>
      <c r="X73" s="268"/>
      <c r="Y73" s="271"/>
      <c r="Z73" s="283"/>
      <c r="AA73" s="314"/>
      <c r="AB73" s="274"/>
      <c r="AC73" s="315"/>
      <c r="AD73" s="277"/>
      <c r="AE73" s="316"/>
      <c r="AF73" s="359"/>
      <c r="AG73" s="356"/>
      <c r="AH73" s="362"/>
      <c r="AI73" s="366"/>
      <c r="AJ73" s="367"/>
      <c r="AK73" s="14"/>
    </row>
    <row r="74" spans="2:37" ht="14.4" customHeight="1">
      <c r="B74" s="261"/>
      <c r="C74" s="262"/>
      <c r="D74" s="262"/>
      <c r="E74" s="263"/>
      <c r="F74" s="313"/>
      <c r="G74" s="322"/>
      <c r="H74" s="268"/>
      <c r="I74" s="271"/>
      <c r="J74" s="268"/>
      <c r="K74" s="271"/>
      <c r="L74" s="268"/>
      <c r="M74" s="271"/>
      <c r="N74" s="268"/>
      <c r="O74" s="271"/>
      <c r="P74" s="268"/>
      <c r="Q74" s="271"/>
      <c r="R74" s="268"/>
      <c r="S74" s="271"/>
      <c r="T74" s="268"/>
      <c r="U74" s="271"/>
      <c r="V74" s="268"/>
      <c r="W74" s="271"/>
      <c r="X74" s="268"/>
      <c r="Y74" s="271"/>
      <c r="Z74" s="283"/>
      <c r="AA74" s="314"/>
      <c r="AB74" s="274"/>
      <c r="AC74" s="315"/>
      <c r="AD74" s="277"/>
      <c r="AE74" s="316"/>
      <c r="AF74" s="359"/>
      <c r="AG74" s="356"/>
      <c r="AH74" s="362"/>
      <c r="AI74" s="366"/>
      <c r="AJ74" s="367"/>
      <c r="AK74" s="14"/>
    </row>
    <row r="75" spans="2:37" ht="14.4" customHeight="1">
      <c r="B75" s="261"/>
      <c r="C75" s="262"/>
      <c r="D75" s="262"/>
      <c r="E75" s="263"/>
      <c r="F75" s="313"/>
      <c r="G75" s="322"/>
      <c r="H75" s="268"/>
      <c r="I75" s="271"/>
      <c r="J75" s="268"/>
      <c r="K75" s="271"/>
      <c r="L75" s="268"/>
      <c r="M75" s="271"/>
      <c r="N75" s="268"/>
      <c r="O75" s="271"/>
      <c r="P75" s="268"/>
      <c r="Q75" s="271"/>
      <c r="R75" s="268"/>
      <c r="S75" s="271"/>
      <c r="T75" s="268"/>
      <c r="U75" s="271"/>
      <c r="V75" s="268"/>
      <c r="W75" s="271"/>
      <c r="X75" s="268"/>
      <c r="Y75" s="271"/>
      <c r="Z75" s="283"/>
      <c r="AA75" s="314"/>
      <c r="AB75" s="274"/>
      <c r="AC75" s="315"/>
      <c r="AD75" s="277"/>
      <c r="AE75" s="316"/>
      <c r="AF75" s="359"/>
      <c r="AG75" s="356"/>
      <c r="AH75" s="362"/>
      <c r="AI75" s="366"/>
      <c r="AJ75" s="367"/>
      <c r="AK75" s="14"/>
    </row>
    <row r="76" spans="2:37" ht="14.4" customHeight="1">
      <c r="B76" s="261"/>
      <c r="C76" s="262"/>
      <c r="D76" s="262"/>
      <c r="E76" s="263"/>
      <c r="F76" s="313"/>
      <c r="G76" s="322"/>
      <c r="H76" s="268"/>
      <c r="I76" s="271"/>
      <c r="J76" s="268"/>
      <c r="K76" s="271"/>
      <c r="L76" s="268"/>
      <c r="M76" s="271"/>
      <c r="N76" s="268"/>
      <c r="O76" s="271"/>
      <c r="P76" s="268"/>
      <c r="Q76" s="271"/>
      <c r="R76" s="268"/>
      <c r="S76" s="271"/>
      <c r="T76" s="268"/>
      <c r="U76" s="271"/>
      <c r="V76" s="268"/>
      <c r="W76" s="271"/>
      <c r="X76" s="268"/>
      <c r="Y76" s="271"/>
      <c r="Z76" s="283"/>
      <c r="AA76" s="314"/>
      <c r="AB76" s="274"/>
      <c r="AC76" s="315"/>
      <c r="AD76" s="277"/>
      <c r="AE76" s="316"/>
      <c r="AF76" s="359"/>
      <c r="AG76" s="356"/>
      <c r="AH76" s="362"/>
      <c r="AI76" s="366"/>
      <c r="AJ76" s="367"/>
      <c r="AK76" s="14"/>
    </row>
    <row r="77" spans="2:37" ht="14.4" customHeight="1" thickBot="1">
      <c r="B77" s="264"/>
      <c r="C77" s="265"/>
      <c r="D77" s="265"/>
      <c r="E77" s="266"/>
      <c r="F77" s="313"/>
      <c r="G77" s="323"/>
      <c r="H77" s="269"/>
      <c r="I77" s="272"/>
      <c r="J77" s="269"/>
      <c r="K77" s="272"/>
      <c r="L77" s="269"/>
      <c r="M77" s="272"/>
      <c r="N77" s="269"/>
      <c r="O77" s="272"/>
      <c r="P77" s="269"/>
      <c r="Q77" s="272"/>
      <c r="R77" s="269"/>
      <c r="S77" s="272"/>
      <c r="T77" s="269"/>
      <c r="U77" s="272"/>
      <c r="V77" s="269"/>
      <c r="W77" s="272"/>
      <c r="X77" s="269"/>
      <c r="Y77" s="272"/>
      <c r="Z77" s="284"/>
      <c r="AA77" s="314"/>
      <c r="AB77" s="275"/>
      <c r="AC77" s="315"/>
      <c r="AD77" s="278"/>
      <c r="AE77" s="316"/>
      <c r="AF77" s="360"/>
      <c r="AG77" s="357"/>
      <c r="AH77" s="363"/>
      <c r="AI77" s="368"/>
      <c r="AJ77" s="369"/>
      <c r="AK77" s="14"/>
    </row>
    <row r="78" spans="2:37" ht="14.4" customHeight="1" thickTop="1">
      <c r="B78" s="194" t="s">
        <v>92</v>
      </c>
      <c r="C78" s="194"/>
      <c r="D78" s="194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4"/>
    </row>
    <row r="79" spans="2:37" ht="14.4" customHeight="1">
      <c r="B79" s="14"/>
      <c r="C79" s="29" t="s">
        <v>19</v>
      </c>
      <c r="D79" s="29"/>
      <c r="E79" s="29"/>
      <c r="F79" s="22"/>
      <c r="H79" s="22"/>
      <c r="J79" s="22"/>
      <c r="K79" s="10"/>
      <c r="L79" s="10"/>
      <c r="M79" s="257" t="s">
        <v>20</v>
      </c>
      <c r="N79" s="257"/>
      <c r="O79" s="257"/>
      <c r="P79" s="257"/>
      <c r="R79" s="31"/>
      <c r="S79" s="32"/>
      <c r="T79" s="32"/>
      <c r="U79" s="14"/>
      <c r="V79" s="14"/>
      <c r="W79" s="14"/>
      <c r="X79" s="14"/>
      <c r="Y79" s="14"/>
      <c r="Z79" s="14"/>
      <c r="AA79" s="14"/>
      <c r="AB79" s="14"/>
      <c r="AC79" s="14"/>
      <c r="AD79" s="14"/>
    </row>
    <row r="80" spans="2:37" ht="14.4" customHeight="1">
      <c r="B80" s="14"/>
      <c r="C80" s="29"/>
      <c r="D80" s="29"/>
      <c r="E80" s="29"/>
      <c r="F80" s="22"/>
      <c r="H80" s="22"/>
      <c r="J80" s="22"/>
      <c r="K80" s="10"/>
      <c r="L80" s="10"/>
      <c r="M80" s="30"/>
      <c r="N80" s="30"/>
      <c r="O80" s="30"/>
      <c r="P80" s="30"/>
      <c r="R80" s="31"/>
      <c r="S80" s="32"/>
      <c r="T80" s="32"/>
      <c r="U80" s="14"/>
      <c r="V80" s="14"/>
      <c r="W80" s="14"/>
      <c r="X80" s="14"/>
      <c r="Y80" s="14"/>
      <c r="Z80" s="14"/>
      <c r="AA80" s="14"/>
      <c r="AB80" s="14"/>
      <c r="AC80" s="14"/>
      <c r="AD80" s="14"/>
    </row>
    <row r="81" spans="2:30" ht="14.4" customHeight="1">
      <c r="B81" s="14"/>
      <c r="C81"/>
      <c r="D81"/>
      <c r="E81"/>
      <c r="F81" s="22"/>
      <c r="H81" s="22"/>
      <c r="J81" s="22"/>
      <c r="K81" s="10"/>
      <c r="L81" s="10"/>
      <c r="N81" s="22"/>
      <c r="P81" s="22"/>
      <c r="R81" s="31"/>
      <c r="S81" s="32"/>
      <c r="T81" s="32"/>
      <c r="U81" s="14"/>
      <c r="V81" s="14"/>
      <c r="W81" s="14"/>
      <c r="X81" s="14"/>
      <c r="Y81" s="14"/>
      <c r="Z81" s="14"/>
      <c r="AA81" s="14"/>
      <c r="AB81" s="14"/>
      <c r="AC81" s="14"/>
      <c r="AD81" s="14"/>
    </row>
    <row r="82" spans="2:30" ht="14.4" customHeight="1">
      <c r="B82" s="14"/>
      <c r="C82" s="370" t="str">
        <f>PRELIM!C82</f>
        <v>Write your Name Here</v>
      </c>
      <c r="D82" s="370"/>
      <c r="E82" s="370"/>
      <c r="F82" s="22"/>
      <c r="G82" s="14"/>
      <c r="H82" s="22"/>
      <c r="J82" s="22"/>
      <c r="K82" s="10"/>
      <c r="L82" s="10"/>
      <c r="M82" s="370" t="str">
        <f>PRELIM!M82</f>
        <v>Write the current chair here</v>
      </c>
      <c r="N82" s="370"/>
      <c r="O82" s="370"/>
      <c r="P82" s="370"/>
      <c r="Q82" s="370"/>
      <c r="R82" s="370"/>
      <c r="S82" s="32"/>
      <c r="T82" s="32"/>
      <c r="U82" s="14"/>
      <c r="V82" s="14"/>
      <c r="W82" s="14"/>
      <c r="X82" s="14"/>
      <c r="Y82" s="14"/>
      <c r="Z82" s="14"/>
      <c r="AA82" s="14"/>
      <c r="AB82" s="14"/>
      <c r="AC82" s="14"/>
      <c r="AD82" s="14"/>
    </row>
    <row r="83" spans="2:30" ht="3" customHeight="1" thickBot="1">
      <c r="B83" s="14"/>
      <c r="C83"/>
      <c r="D83"/>
      <c r="E83"/>
      <c r="F83" s="22"/>
      <c r="G83" s="14"/>
      <c r="H83" s="22"/>
      <c r="J83" s="22"/>
      <c r="K83" s="10"/>
      <c r="L83" s="10"/>
      <c r="M83" s="21"/>
      <c r="N83" s="21"/>
      <c r="O83" s="21"/>
      <c r="P83" s="21"/>
      <c r="Q83" s="21"/>
      <c r="R83" s="21"/>
      <c r="S83" s="32"/>
      <c r="T83" s="32"/>
      <c r="U83" s="14"/>
      <c r="V83" s="14"/>
      <c r="W83" s="14"/>
      <c r="X83" s="14"/>
      <c r="Y83" s="14"/>
      <c r="Z83" s="14"/>
      <c r="AA83" s="14"/>
      <c r="AB83" s="14"/>
      <c r="AC83" s="14"/>
      <c r="AD83" s="14"/>
    </row>
    <row r="84" spans="2:30" ht="14.4" customHeight="1">
      <c r="B84" s="14"/>
      <c r="C84" s="255" t="s">
        <v>21</v>
      </c>
      <c r="D84" s="255"/>
      <c r="E84" s="255"/>
      <c r="F84" s="22"/>
      <c r="G84" s="14"/>
      <c r="H84" s="22"/>
      <c r="J84" s="22"/>
      <c r="K84" s="10"/>
      <c r="L84" s="10"/>
      <c r="M84" s="255" t="s">
        <v>22</v>
      </c>
      <c r="N84" s="255"/>
      <c r="O84" s="255"/>
      <c r="P84" s="255"/>
      <c r="Q84" s="255"/>
      <c r="R84" s="255"/>
      <c r="S84" s="32"/>
      <c r="T84" s="32"/>
      <c r="U84" s="14"/>
      <c r="V84" s="14"/>
      <c r="W84" s="14"/>
      <c r="X84" s="14"/>
      <c r="Y84" s="14"/>
      <c r="Z84" s="14"/>
      <c r="AA84" s="14"/>
      <c r="AB84" s="14"/>
      <c r="AC84" s="14"/>
      <c r="AD84" s="14"/>
    </row>
    <row r="85" spans="2:30" ht="14.4" customHeight="1">
      <c r="B85" s="14"/>
      <c r="C85" s="70"/>
      <c r="D85" s="70"/>
      <c r="E85" s="70"/>
      <c r="F85" s="22"/>
      <c r="G85" s="14"/>
      <c r="H85" s="22"/>
      <c r="J85" s="22"/>
      <c r="K85" s="10"/>
      <c r="L85" s="10"/>
      <c r="M85" s="70"/>
      <c r="N85" s="70"/>
      <c r="O85" s="70"/>
      <c r="P85" s="70"/>
      <c r="Q85" s="70"/>
      <c r="R85" s="70"/>
      <c r="S85" s="32"/>
      <c r="T85" s="32"/>
      <c r="U85" s="14"/>
      <c r="V85" s="14"/>
      <c r="W85" s="14"/>
      <c r="X85" s="14"/>
      <c r="Y85" s="14"/>
      <c r="Z85" s="14"/>
      <c r="AA85" s="14"/>
      <c r="AB85" s="14"/>
      <c r="AC85" s="14"/>
      <c r="AD85" s="14"/>
    </row>
    <row r="86" spans="2:30" ht="14.4" customHeight="1">
      <c r="B86" s="14"/>
      <c r="C86"/>
      <c r="D86"/>
      <c r="E86"/>
      <c r="F86" s="22"/>
      <c r="G86" s="14"/>
      <c r="H86" s="22"/>
      <c r="J86" s="22"/>
      <c r="K86" s="10"/>
      <c r="L86" s="10"/>
      <c r="N86" s="22"/>
      <c r="P86" s="22"/>
      <c r="R86" s="31"/>
      <c r="S86" s="32"/>
      <c r="T86" s="32"/>
      <c r="U86" s="14"/>
      <c r="V86" s="14"/>
      <c r="W86" s="14"/>
      <c r="X86" s="14"/>
      <c r="Y86" s="14"/>
      <c r="Z86" s="14"/>
      <c r="AA86" s="14"/>
      <c r="AB86" s="14"/>
      <c r="AC86" s="14"/>
      <c r="AD86" s="14"/>
    </row>
    <row r="87" spans="2:30" ht="14.4" customHeight="1">
      <c r="B87" s="14"/>
      <c r="C87"/>
      <c r="D87"/>
      <c r="E87"/>
      <c r="F87" s="22"/>
      <c r="G87" s="14"/>
      <c r="H87" s="22"/>
      <c r="J87" s="22"/>
      <c r="K87" s="10"/>
      <c r="L87" s="10"/>
      <c r="M87" s="370" t="str">
        <f>PRELIM!M87</f>
        <v>Write the current Dean here</v>
      </c>
      <c r="N87" s="370"/>
      <c r="O87" s="370"/>
      <c r="P87" s="370"/>
      <c r="Q87" s="370"/>
      <c r="R87" s="370"/>
      <c r="S87" s="32"/>
      <c r="T87" s="32"/>
      <c r="U87" s="14"/>
      <c r="V87" s="14"/>
      <c r="W87" s="14"/>
      <c r="X87" s="14"/>
      <c r="Y87" s="14"/>
      <c r="Z87" s="14"/>
      <c r="AA87" s="14"/>
      <c r="AB87" s="14"/>
      <c r="AC87" s="14"/>
      <c r="AD87" s="14"/>
    </row>
    <row r="88" spans="2:30" ht="3" customHeight="1" thickBot="1">
      <c r="B88" s="14"/>
      <c r="C88"/>
      <c r="D88"/>
      <c r="E88"/>
      <c r="F88" s="22"/>
      <c r="G88" s="14"/>
      <c r="H88" s="22"/>
      <c r="J88" s="22"/>
      <c r="K88" s="10"/>
      <c r="L88" s="10"/>
      <c r="M88" s="21"/>
      <c r="N88" s="21"/>
      <c r="O88" s="21"/>
      <c r="P88" s="21"/>
      <c r="Q88" s="21"/>
      <c r="R88" s="21"/>
      <c r="S88" s="32"/>
      <c r="T88" s="32"/>
      <c r="U88" s="14"/>
      <c r="V88" s="14"/>
      <c r="W88" s="14"/>
      <c r="X88" s="14"/>
      <c r="Y88" s="14"/>
      <c r="Z88" s="14"/>
      <c r="AA88" s="14"/>
      <c r="AB88" s="14"/>
      <c r="AC88" s="14"/>
      <c r="AD88" s="14"/>
    </row>
    <row r="89" spans="2:30" ht="14.4" customHeight="1">
      <c r="B89" s="14"/>
      <c r="C89"/>
      <c r="D89"/>
      <c r="E89"/>
      <c r="F89" s="22"/>
      <c r="G89" s="14"/>
      <c r="H89" s="22"/>
      <c r="J89" s="22"/>
      <c r="K89" s="10"/>
      <c r="L89" s="10"/>
      <c r="M89" s="255" t="s">
        <v>23</v>
      </c>
      <c r="N89" s="255"/>
      <c r="O89" s="255"/>
      <c r="P89" s="255"/>
      <c r="Q89" s="255"/>
      <c r="R89" s="255"/>
      <c r="S89" s="32"/>
      <c r="T89" s="32"/>
      <c r="U89" s="14"/>
      <c r="V89" s="14"/>
      <c r="W89" s="14"/>
      <c r="X89" s="14"/>
      <c r="Y89" s="14"/>
      <c r="Z89" s="14"/>
      <c r="AA89" s="14"/>
      <c r="AB89" s="14"/>
      <c r="AC89" s="14"/>
      <c r="AD89" s="14"/>
    </row>
  </sheetData>
  <sheetProtection algorithmName="SHA-512" hashValue="4QE+uLCvc2Nm6KHJsP/NxjqCUIG+YEhezi/eQ2rs5TtmnAvTtlZCSQlcB0EezKDStqBPnLIwv5znid9NVds5Yg==" saltValue="jdDxWFr9v91EY32Rfr9TJA==" spinCount="100000" sheet="1" objects="1" scenarios="1"/>
  <protectedRanges>
    <protectedRange sqref="E12:F12" name="RangeChkbox_HideShowBottomRemarks"/>
    <protectedRange sqref="E11:F11" name="RangeChkBox_HideShowNoData"/>
    <protectedRange sqref="G72:Z77 AB72 AD72 AI16:AJ71 AF72:AJ77" name="RangeRemarks"/>
    <protectedRange sqref="Y16:Y77" name="RangeO10"/>
    <protectedRange sqref="W16:W77" name="RangeO9"/>
    <protectedRange sqref="U16:U77" name="RangeO8"/>
    <protectedRange sqref="S16:S77" name="RangeO7"/>
    <protectedRange sqref="Q16:Q77" name="RangeO6"/>
    <protectedRange sqref="O16:O77" name="RangeO5"/>
    <protectedRange sqref="M16:M77" name="RangeO4"/>
    <protectedRange sqref="G16:G77" name="RangeO1"/>
    <protectedRange sqref="I16:I77" name="RangeO2"/>
    <protectedRange sqref="K16:K77" name="RangeO3"/>
    <protectedRange sqref="E10:F10" name="RangeChkBox_BalanceWeight"/>
  </protectedRanges>
  <mergeCells count="152">
    <mergeCell ref="M89:R89"/>
    <mergeCell ref="M79:P79"/>
    <mergeCell ref="C82:E82"/>
    <mergeCell ref="M82:R82"/>
    <mergeCell ref="C84:E84"/>
    <mergeCell ref="M84:R84"/>
    <mergeCell ref="M87:R87"/>
    <mergeCell ref="AE72:AE77"/>
    <mergeCell ref="B78:AJ78"/>
    <mergeCell ref="Y72:Y77"/>
    <mergeCell ref="Z72:Z77"/>
    <mergeCell ref="AA72:AA77"/>
    <mergeCell ref="AB72:AB77"/>
    <mergeCell ref="AC72:AC77"/>
    <mergeCell ref="AD72:AD77"/>
    <mergeCell ref="S72:S77"/>
    <mergeCell ref="T72:T77"/>
    <mergeCell ref="U72:U77"/>
    <mergeCell ref="V72:V77"/>
    <mergeCell ref="W72:W77"/>
    <mergeCell ref="X72:X77"/>
    <mergeCell ref="M72:M77"/>
    <mergeCell ref="N72:N77"/>
    <mergeCell ref="O72:O77"/>
    <mergeCell ref="P72:P77"/>
    <mergeCell ref="Q72:Q77"/>
    <mergeCell ref="R72:R77"/>
    <mergeCell ref="AI70:AJ70"/>
    <mergeCell ref="AI71:AJ71"/>
    <mergeCell ref="B72:E77"/>
    <mergeCell ref="F72:F77"/>
    <mergeCell ref="G72:G77"/>
    <mergeCell ref="H72:H77"/>
    <mergeCell ref="I72:I77"/>
    <mergeCell ref="J72:J77"/>
    <mergeCell ref="K72:K77"/>
    <mergeCell ref="L72:L77"/>
    <mergeCell ref="AG72:AG77"/>
    <mergeCell ref="AF72:AF77"/>
    <mergeCell ref="AH72:AH77"/>
    <mergeCell ref="AI72:AJ77"/>
    <mergeCell ref="AI64:AJ64"/>
    <mergeCell ref="AI65:AJ65"/>
    <mergeCell ref="AI66:AJ66"/>
    <mergeCell ref="AI67:AJ67"/>
    <mergeCell ref="AI68:AJ68"/>
    <mergeCell ref="AI69:AJ69"/>
    <mergeCell ref="AI58:AJ58"/>
    <mergeCell ref="AI59:AJ59"/>
    <mergeCell ref="AI60:AJ60"/>
    <mergeCell ref="AI61:AJ61"/>
    <mergeCell ref="AI62:AJ62"/>
    <mergeCell ref="AI63:AJ63"/>
    <mergeCell ref="AI52:AJ52"/>
    <mergeCell ref="AI53:AJ53"/>
    <mergeCell ref="AI54:AJ54"/>
    <mergeCell ref="AI55:AJ55"/>
    <mergeCell ref="AI56:AJ56"/>
    <mergeCell ref="AI57:AJ57"/>
    <mergeCell ref="AI46:AJ46"/>
    <mergeCell ref="AI47:AJ47"/>
    <mergeCell ref="AI48:AJ48"/>
    <mergeCell ref="AI49:AJ49"/>
    <mergeCell ref="AI50:AJ50"/>
    <mergeCell ref="AI51:AJ51"/>
    <mergeCell ref="AI40:AJ40"/>
    <mergeCell ref="AI41:AJ41"/>
    <mergeCell ref="AI42:AJ42"/>
    <mergeCell ref="AI43:AJ43"/>
    <mergeCell ref="AI44:AJ44"/>
    <mergeCell ref="AI45:AJ45"/>
    <mergeCell ref="AI34:AJ34"/>
    <mergeCell ref="AI35:AJ35"/>
    <mergeCell ref="AI36:AJ36"/>
    <mergeCell ref="AI37:AJ37"/>
    <mergeCell ref="AI38:AJ38"/>
    <mergeCell ref="AI39:AJ39"/>
    <mergeCell ref="AI28:AJ28"/>
    <mergeCell ref="AI29:AJ29"/>
    <mergeCell ref="AI30:AJ30"/>
    <mergeCell ref="AI31:AJ31"/>
    <mergeCell ref="AI32:AJ32"/>
    <mergeCell ref="AI33:AJ33"/>
    <mergeCell ref="AI22:AJ22"/>
    <mergeCell ref="AI23:AJ23"/>
    <mergeCell ref="AI24:AJ24"/>
    <mergeCell ref="AI25:AJ25"/>
    <mergeCell ref="AI26:AJ26"/>
    <mergeCell ref="AI27:AJ27"/>
    <mergeCell ref="N10:N15"/>
    <mergeCell ref="P10:P15"/>
    <mergeCell ref="R10:R15"/>
    <mergeCell ref="AI16:AJ16"/>
    <mergeCell ref="AI17:AJ17"/>
    <mergeCell ref="AI18:AJ18"/>
    <mergeCell ref="AI19:AJ19"/>
    <mergeCell ref="AI20:AJ20"/>
    <mergeCell ref="AI21:AJ21"/>
    <mergeCell ref="Q11:Q14"/>
    <mergeCell ref="S11:S14"/>
    <mergeCell ref="U11:U14"/>
    <mergeCell ref="W11:W14"/>
    <mergeCell ref="Y11:Y14"/>
    <mergeCell ref="AF9:AF15"/>
    <mergeCell ref="AH9:AH15"/>
    <mergeCell ref="AI9:AJ15"/>
    <mergeCell ref="B9:D9"/>
    <mergeCell ref="G9:Z9"/>
    <mergeCell ref="AB9:AB15"/>
    <mergeCell ref="AD9:AD15"/>
    <mergeCell ref="AG9:AG15"/>
    <mergeCell ref="B12:D12"/>
    <mergeCell ref="B14:B15"/>
    <mergeCell ref="C14:C15"/>
    <mergeCell ref="D14:D15"/>
    <mergeCell ref="E14:E15"/>
    <mergeCell ref="T10:T15"/>
    <mergeCell ref="V10:V15"/>
    <mergeCell ref="X10:X15"/>
    <mergeCell ref="Z10:Z15"/>
    <mergeCell ref="B11:D11"/>
    <mergeCell ref="G11:G14"/>
    <mergeCell ref="I11:I14"/>
    <mergeCell ref="K11:K14"/>
    <mergeCell ref="M11:M14"/>
    <mergeCell ref="O11:O14"/>
    <mergeCell ref="B10:D10"/>
    <mergeCell ref="H10:H15"/>
    <mergeCell ref="J10:J15"/>
    <mergeCell ref="L10:L15"/>
    <mergeCell ref="J5:O5"/>
    <mergeCell ref="Y5:AA5"/>
    <mergeCell ref="AB5:AJ5"/>
    <mergeCell ref="G6:I6"/>
    <mergeCell ref="J6:O6"/>
    <mergeCell ref="Y6:AA6"/>
    <mergeCell ref="AB6:AJ6"/>
    <mergeCell ref="B1:AJ1"/>
    <mergeCell ref="B2:F7"/>
    <mergeCell ref="G2:AJ2"/>
    <mergeCell ref="G3:AJ3"/>
    <mergeCell ref="G4:I4"/>
    <mergeCell ref="J4:O4"/>
    <mergeCell ref="P4:X6"/>
    <mergeCell ref="Y4:AA4"/>
    <mergeCell ref="AB4:AJ4"/>
    <mergeCell ref="G5:I5"/>
    <mergeCell ref="G7:I7"/>
    <mergeCell ref="J7:O7"/>
    <mergeCell ref="P7:X7"/>
    <mergeCell ref="Y7:AA7"/>
    <mergeCell ref="AB7:AJ7"/>
  </mergeCells>
  <conditionalFormatting sqref="G15 I15 K15 M15 O15 Q15 S15 U15 W15 Y15">
    <cfRule type="expression" dxfId="1" priority="1">
      <formula>SUM($G$15,$I$15,$K$15,$M$15,$O$15,$Q$15,$S$15,$U$15,$W$15,$Y$15) &lt;&gt; 1</formula>
    </cfRule>
  </conditionalFormatting>
  <pageMargins left="0.7" right="0.7" top="0.75" bottom="0.75" header="0.3" footer="0.3"/>
  <pageSetup scale="40" orientation="landscape" horizontalDpi="1200" verticalDpi="1200" r:id="rId1"/>
  <ignoredErrors>
    <ignoredError sqref="M82 M87 C82" unlockedFormula="1"/>
  </ignoredErrors>
  <drawing r:id="rId2"/>
  <legacyDrawing r:id="rId3"/>
  <controls>
    <mc:AlternateContent xmlns:mc="http://schemas.openxmlformats.org/markup-compatibility/2006">
      <mc:Choice Requires="x14">
        <control shapeId="39940" r:id="rId4" name="CheckBox3">
          <controlPr locked="0" defaultSize="0" autoLine="0" linkedCell="F12" r:id="rId5">
            <anchor moveWithCells="1">
              <from>
                <xdr:col>4</xdr:col>
                <xdr:colOff>342900</xdr:colOff>
                <xdr:row>11</xdr:row>
                <xdr:rowOff>15240</xdr:rowOff>
              </from>
              <to>
                <xdr:col>4</xdr:col>
                <xdr:colOff>502920</xdr:colOff>
                <xdr:row>11</xdr:row>
                <xdr:rowOff>175260</xdr:rowOff>
              </to>
            </anchor>
          </controlPr>
        </control>
      </mc:Choice>
      <mc:Fallback>
        <control shapeId="39940" r:id="rId4" name="CheckBox3"/>
      </mc:Fallback>
    </mc:AlternateContent>
    <mc:AlternateContent xmlns:mc="http://schemas.openxmlformats.org/markup-compatibility/2006">
      <mc:Choice Requires="x14">
        <control shapeId="39939" r:id="rId6" name="CheckBox2">
          <controlPr locked="0" defaultSize="0" autoLine="0" linkedCell="F11" r:id="rId7">
            <anchor moveWithCells="1">
              <from>
                <xdr:col>4</xdr:col>
                <xdr:colOff>342900</xdr:colOff>
                <xdr:row>10</xdr:row>
                <xdr:rowOff>22860</xdr:rowOff>
              </from>
              <to>
                <xdr:col>4</xdr:col>
                <xdr:colOff>502920</xdr:colOff>
                <xdr:row>10</xdr:row>
                <xdr:rowOff>175260</xdr:rowOff>
              </to>
            </anchor>
          </controlPr>
        </control>
      </mc:Choice>
      <mc:Fallback>
        <control shapeId="39939" r:id="rId6" name="CheckBox2"/>
      </mc:Fallback>
    </mc:AlternateContent>
    <mc:AlternateContent xmlns:mc="http://schemas.openxmlformats.org/markup-compatibility/2006">
      <mc:Choice Requires="x14">
        <control shapeId="39937" r:id="rId8" name="CheckBox1">
          <controlPr locked="0" defaultSize="0" autoLine="0" linkedCell="F10" r:id="rId7">
            <anchor moveWithCells="1">
              <from>
                <xdr:col>4</xdr:col>
                <xdr:colOff>342900</xdr:colOff>
                <xdr:row>9</xdr:row>
                <xdr:rowOff>7620</xdr:rowOff>
              </from>
              <to>
                <xdr:col>4</xdr:col>
                <xdr:colOff>502920</xdr:colOff>
                <xdr:row>9</xdr:row>
                <xdr:rowOff>160020</xdr:rowOff>
              </to>
            </anchor>
          </controlPr>
        </control>
      </mc:Choice>
      <mc:Fallback>
        <control shapeId="39937" r:id="rId8" name="CheckBox1"/>
      </mc:Fallback>
    </mc:AlternateContent>
    <mc:AlternateContent xmlns:mc="http://schemas.openxmlformats.org/markup-compatibility/2006">
      <mc:Choice Requires="x14">
        <control shapeId="39938" r:id="rId9" name="Button 2">
          <controlPr defaultSize="0" print="0" autoFill="0" autoPict="0" macro="[0]!ExportSheetToPDF">
            <anchor moveWithCells="1">
              <from>
                <xdr:col>6</xdr:col>
                <xdr:colOff>91440</xdr:colOff>
                <xdr:row>8</xdr:row>
                <xdr:rowOff>30480</xdr:rowOff>
              </from>
              <to>
                <xdr:col>9</xdr:col>
                <xdr:colOff>144780</xdr:colOff>
                <xdr:row>8</xdr:row>
                <xdr:rowOff>213360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217A8-27A5-4164-9796-2671754A4842}">
  <sheetPr codeName="Sheet5">
    <tabColor rgb="FF9DF3F5"/>
    <pageSetUpPr fitToPage="1"/>
  </sheetPr>
  <dimension ref="B1:AK89"/>
  <sheetViews>
    <sheetView zoomScaleNormal="100" workbookViewId="0">
      <pane xSplit="6" ySplit="16" topLeftCell="G17" activePane="bottomRight" state="frozen"/>
      <selection pane="topRight" activeCell="G1" sqref="G1"/>
      <selection pane="bottomLeft" activeCell="A11" sqref="A11"/>
      <selection pane="bottomRight" activeCell="AH32" sqref="AH32"/>
    </sheetView>
  </sheetViews>
  <sheetFormatPr defaultColWidth="9.109375" defaultRowHeight="13.8"/>
  <cols>
    <col min="1" max="1" width="2.77734375" style="22" customWidth="1"/>
    <col min="2" max="2" width="3" style="22" bestFit="1" customWidth="1"/>
    <col min="3" max="3" width="14" style="22" customWidth="1"/>
    <col min="4" max="4" width="15.5546875" style="22" customWidth="1"/>
    <col min="5" max="5" width="11.88671875" style="22" bestFit="1" customWidth="1"/>
    <col min="6" max="6" width="0.5546875" style="23" customWidth="1"/>
    <col min="7" max="7" width="6.109375" style="22" customWidth="1"/>
    <col min="8" max="8" width="5.88671875" style="24" customWidth="1"/>
    <col min="9" max="9" width="6.109375" style="22" customWidth="1"/>
    <col min="10" max="10" width="5.88671875" style="24" customWidth="1"/>
    <col min="11" max="11" width="6.109375" style="22" customWidth="1"/>
    <col min="12" max="12" width="5.88671875" style="24" customWidth="1"/>
    <col min="13" max="13" width="6.109375" style="22" customWidth="1"/>
    <col min="14" max="14" width="5.88671875" style="24" customWidth="1"/>
    <col min="15" max="15" width="6.109375" style="22" customWidth="1"/>
    <col min="16" max="16" width="5.88671875" style="24" customWidth="1"/>
    <col min="17" max="17" width="6.109375" style="22" customWidth="1"/>
    <col min="18" max="18" width="5.88671875" style="24" customWidth="1"/>
    <col min="19" max="19" width="6.109375" style="22" customWidth="1"/>
    <col min="20" max="20" width="5.88671875" style="24" customWidth="1"/>
    <col min="21" max="21" width="6.109375" style="22" customWidth="1"/>
    <col min="22" max="22" width="5.88671875" style="24" customWidth="1"/>
    <col min="23" max="23" width="6.109375" style="22" customWidth="1"/>
    <col min="24" max="24" width="5.88671875" style="24" customWidth="1"/>
    <col min="25" max="25" width="6.109375" style="22" customWidth="1"/>
    <col min="26" max="26" width="5.88671875" style="24" customWidth="1"/>
    <col min="27" max="27" width="0.5546875" style="24" customWidth="1"/>
    <col min="28" max="28" width="5" style="22" customWidth="1"/>
    <col min="29" max="29" width="0.5546875" style="22" customWidth="1"/>
    <col min="30" max="30" width="5" style="22" customWidth="1"/>
    <col min="31" max="31" width="0.5546875" style="22" customWidth="1"/>
    <col min="32" max="34" width="5.21875" style="22" customWidth="1"/>
    <col min="35" max="35" width="6.109375" style="22" customWidth="1"/>
    <col min="36" max="36" width="17.88671875" style="22" customWidth="1"/>
    <col min="37" max="16384" width="9.109375" style="22"/>
  </cols>
  <sheetData>
    <row r="1" spans="2:37" ht="14.4" thickBot="1">
      <c r="B1" s="193" t="s">
        <v>92</v>
      </c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</row>
    <row r="2" spans="2:37" ht="21" customHeight="1" thickTop="1">
      <c r="B2" s="195"/>
      <c r="C2" s="196"/>
      <c r="D2" s="196"/>
      <c r="E2" s="196"/>
      <c r="F2" s="197"/>
      <c r="G2" s="372" t="s">
        <v>66</v>
      </c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6"/>
    </row>
    <row r="3" spans="2:37" ht="21" customHeight="1" thickBot="1">
      <c r="B3" s="198"/>
      <c r="C3" s="199"/>
      <c r="D3" s="199"/>
      <c r="E3" s="199"/>
      <c r="F3" s="200"/>
      <c r="G3" s="207" t="s">
        <v>0</v>
      </c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9"/>
    </row>
    <row r="4" spans="2:37" ht="13.8" customHeight="1" thickTop="1">
      <c r="B4" s="198"/>
      <c r="C4" s="199"/>
      <c r="D4" s="199"/>
      <c r="E4" s="199"/>
      <c r="F4" s="200"/>
      <c r="G4" s="373" t="s">
        <v>1</v>
      </c>
      <c r="H4" s="217"/>
      <c r="I4" s="217"/>
      <c r="J4" s="222" t="str">
        <f>PRELIM!J4</f>
        <v>John A. Doe</v>
      </c>
      <c r="K4" s="223"/>
      <c r="L4" s="223"/>
      <c r="M4" s="223"/>
      <c r="N4" s="223"/>
      <c r="O4" s="224"/>
      <c r="P4" s="301" t="s">
        <v>70</v>
      </c>
      <c r="Q4" s="302"/>
      <c r="R4" s="302"/>
      <c r="S4" s="302"/>
      <c r="T4" s="302"/>
      <c r="U4" s="302"/>
      <c r="V4" s="302"/>
      <c r="W4" s="302"/>
      <c r="X4" s="303"/>
      <c r="Y4" s="216" t="s">
        <v>2</v>
      </c>
      <c r="Z4" s="217"/>
      <c r="AA4" s="217"/>
      <c r="AB4" s="210" t="str">
        <f>PRELIM!AB4</f>
        <v>TTh 3:00:00 PM - 4:30 PM</v>
      </c>
      <c r="AC4" s="211"/>
      <c r="AD4" s="211"/>
      <c r="AE4" s="211"/>
      <c r="AF4" s="211"/>
      <c r="AG4" s="211"/>
      <c r="AH4" s="211"/>
      <c r="AI4" s="211"/>
      <c r="AJ4" s="212"/>
    </row>
    <row r="5" spans="2:37" ht="13.8" customHeight="1">
      <c r="B5" s="198"/>
      <c r="C5" s="199"/>
      <c r="D5" s="199"/>
      <c r="E5" s="199"/>
      <c r="F5" s="200"/>
      <c r="G5" s="371" t="s">
        <v>3</v>
      </c>
      <c r="H5" s="219"/>
      <c r="I5" s="219"/>
      <c r="J5" s="213" t="str">
        <f>PRELIM!J5</f>
        <v>SAS</v>
      </c>
      <c r="K5" s="214"/>
      <c r="L5" s="214"/>
      <c r="M5" s="214"/>
      <c r="N5" s="214"/>
      <c r="O5" s="215"/>
      <c r="P5" s="304"/>
      <c r="Q5" s="305"/>
      <c r="R5" s="305"/>
      <c r="S5" s="305"/>
      <c r="T5" s="305"/>
      <c r="U5" s="305"/>
      <c r="V5" s="305"/>
      <c r="W5" s="305"/>
      <c r="X5" s="306"/>
      <c r="Y5" s="218" t="s">
        <v>79</v>
      </c>
      <c r="Z5" s="219"/>
      <c r="AA5" s="219"/>
      <c r="AB5" s="213">
        <f>PRELIM!AB5</f>
        <v>313</v>
      </c>
      <c r="AC5" s="214"/>
      <c r="AD5" s="214"/>
      <c r="AE5" s="214"/>
      <c r="AF5" s="214"/>
      <c r="AG5" s="214"/>
      <c r="AH5" s="214"/>
      <c r="AI5" s="214"/>
      <c r="AJ5" s="215"/>
    </row>
    <row r="6" spans="2:37" ht="13.8" customHeight="1">
      <c r="B6" s="198"/>
      <c r="C6" s="199"/>
      <c r="D6" s="199"/>
      <c r="E6" s="199"/>
      <c r="F6" s="200"/>
      <c r="G6" s="371" t="s">
        <v>4</v>
      </c>
      <c r="H6" s="219"/>
      <c r="I6" s="219"/>
      <c r="J6" s="213">
        <f>PRELIM!J6</f>
        <v>9999</v>
      </c>
      <c r="K6" s="214"/>
      <c r="L6" s="214"/>
      <c r="M6" s="214"/>
      <c r="N6" s="214"/>
      <c r="O6" s="215"/>
      <c r="P6" s="307"/>
      <c r="Q6" s="308"/>
      <c r="R6" s="308"/>
      <c r="S6" s="308"/>
      <c r="T6" s="308"/>
      <c r="U6" s="308"/>
      <c r="V6" s="308"/>
      <c r="W6" s="308"/>
      <c r="X6" s="309"/>
      <c r="Y6" s="218" t="s">
        <v>67</v>
      </c>
      <c r="Z6" s="219"/>
      <c r="AA6" s="219"/>
      <c r="AB6" s="213" t="str">
        <f>PRELIM!AB6</f>
        <v>2nd Semester SY. 2025- 2026</v>
      </c>
      <c r="AC6" s="214"/>
      <c r="AD6" s="214"/>
      <c r="AE6" s="214"/>
      <c r="AF6" s="214"/>
      <c r="AG6" s="214"/>
      <c r="AH6" s="214"/>
      <c r="AI6" s="214"/>
      <c r="AJ6" s="215"/>
      <c r="AK6" s="14"/>
    </row>
    <row r="7" spans="2:37" ht="13.8" customHeight="1" thickBot="1">
      <c r="B7" s="201"/>
      <c r="C7" s="202"/>
      <c r="D7" s="202"/>
      <c r="E7" s="202"/>
      <c r="F7" s="203"/>
      <c r="G7" s="374" t="s">
        <v>5</v>
      </c>
      <c r="H7" s="221"/>
      <c r="I7" s="221"/>
      <c r="J7" s="190" t="str">
        <f>PRELIM!J7</f>
        <v>Test Course Title</v>
      </c>
      <c r="K7" s="191"/>
      <c r="L7" s="191"/>
      <c r="M7" s="191"/>
      <c r="N7" s="191"/>
      <c r="O7" s="192"/>
      <c r="P7" s="310" t="s">
        <v>166</v>
      </c>
      <c r="Q7" s="311"/>
      <c r="R7" s="311"/>
      <c r="S7" s="311"/>
      <c r="T7" s="311"/>
      <c r="U7" s="311"/>
      <c r="V7" s="311"/>
      <c r="W7" s="311"/>
      <c r="X7" s="312"/>
      <c r="Y7" s="220" t="s">
        <v>80</v>
      </c>
      <c r="Z7" s="221"/>
      <c r="AA7" s="221"/>
      <c r="AB7" s="190">
        <f>PRELIM!AB7</f>
        <v>12345</v>
      </c>
      <c r="AC7" s="191"/>
      <c r="AD7" s="191"/>
      <c r="AE7" s="191"/>
      <c r="AF7" s="191"/>
      <c r="AG7" s="191"/>
      <c r="AH7" s="191"/>
      <c r="AI7" s="191"/>
      <c r="AJ7" s="192"/>
    </row>
    <row r="8" spans="2:37" ht="3" customHeight="1" thickTop="1" thickBot="1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</row>
    <row r="9" spans="2:37" ht="19.2" customHeight="1" thickTop="1" thickBot="1">
      <c r="B9" s="329" t="s">
        <v>75</v>
      </c>
      <c r="C9" s="330"/>
      <c r="D9" s="331"/>
      <c r="E9" s="63">
        <v>60</v>
      </c>
      <c r="F9" s="19"/>
      <c r="G9" s="324" t="s">
        <v>64</v>
      </c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  <c r="U9" s="325"/>
      <c r="V9" s="325"/>
      <c r="W9" s="325"/>
      <c r="X9" s="325"/>
      <c r="Y9" s="325"/>
      <c r="Z9" s="326"/>
      <c r="AA9" s="11"/>
      <c r="AB9" s="327" t="s">
        <v>65</v>
      </c>
      <c r="AC9" s="15"/>
      <c r="AD9" s="299" t="s">
        <v>6</v>
      </c>
      <c r="AE9" s="17"/>
      <c r="AF9" s="343" t="s">
        <v>27</v>
      </c>
      <c r="AG9" s="343" t="s">
        <v>181</v>
      </c>
      <c r="AH9" s="380" t="s">
        <v>26</v>
      </c>
      <c r="AI9" s="375" t="s">
        <v>182</v>
      </c>
      <c r="AJ9" s="387" t="s">
        <v>62</v>
      </c>
      <c r="AK9" s="14"/>
    </row>
    <row r="10" spans="2:37" ht="15.6" customHeight="1" thickTop="1">
      <c r="B10" s="332" t="s">
        <v>171</v>
      </c>
      <c r="C10" s="333"/>
      <c r="D10" s="334"/>
      <c r="E10" s="74"/>
      <c r="F10" s="26" t="b">
        <v>1</v>
      </c>
      <c r="G10" s="39" t="s">
        <v>8</v>
      </c>
      <c r="H10" s="296" t="str">
        <f>CONCATENATE(G10, "-%")</f>
        <v>O1-%</v>
      </c>
      <c r="I10" s="40" t="s">
        <v>9</v>
      </c>
      <c r="J10" s="296" t="str">
        <f>CONCATENATE(I10, "-%")</f>
        <v>O2-%</v>
      </c>
      <c r="K10" s="40" t="s">
        <v>10</v>
      </c>
      <c r="L10" s="296" t="str">
        <f>CONCATENATE(K10, "-%")</f>
        <v>O3-%</v>
      </c>
      <c r="M10" s="40" t="s">
        <v>11</v>
      </c>
      <c r="N10" s="296" t="str">
        <f>CONCATENATE(M10, "-%")</f>
        <v>O4-%</v>
      </c>
      <c r="O10" s="40" t="s">
        <v>12</v>
      </c>
      <c r="P10" s="296" t="str">
        <f>CONCATENATE(O10, "-%")</f>
        <v>O5-%</v>
      </c>
      <c r="Q10" s="40" t="s">
        <v>13</v>
      </c>
      <c r="R10" s="296" t="str">
        <f>CONCATENATE(Q10, "-%")</f>
        <v>O6-%</v>
      </c>
      <c r="S10" s="40" t="s">
        <v>14</v>
      </c>
      <c r="T10" s="296" t="str">
        <f>CONCATENATE(S10, "-%")</f>
        <v>O7-%</v>
      </c>
      <c r="U10" s="40" t="s">
        <v>15</v>
      </c>
      <c r="V10" s="296" t="str">
        <f>CONCATENATE(U10, "-%")</f>
        <v>O8-%</v>
      </c>
      <c r="W10" s="40" t="s">
        <v>16</v>
      </c>
      <c r="X10" s="296" t="str">
        <f>CONCATENATE(W10, "-%")</f>
        <v>O9-%</v>
      </c>
      <c r="Y10" s="40" t="s">
        <v>17</v>
      </c>
      <c r="Z10" s="294" t="str">
        <f>CONCATENATE(Y10, "-%")</f>
        <v>O10-%</v>
      </c>
      <c r="AA10" s="12"/>
      <c r="AB10" s="328"/>
      <c r="AC10" s="15"/>
      <c r="AD10" s="300"/>
      <c r="AE10" s="17"/>
      <c r="AF10" s="344"/>
      <c r="AG10" s="344"/>
      <c r="AH10" s="381"/>
      <c r="AI10" s="376"/>
      <c r="AJ10" s="388"/>
      <c r="AK10" s="14"/>
    </row>
    <row r="11" spans="2:37" ht="15" customHeight="1">
      <c r="B11" s="287" t="s">
        <v>153</v>
      </c>
      <c r="C11" s="288"/>
      <c r="D11" s="288"/>
      <c r="E11" s="64"/>
      <c r="F11" s="75" t="b">
        <v>1</v>
      </c>
      <c r="G11" s="298" t="s">
        <v>63</v>
      </c>
      <c r="H11" s="297"/>
      <c r="I11" s="293" t="s">
        <v>63</v>
      </c>
      <c r="J11" s="297"/>
      <c r="K11" s="293" t="s">
        <v>63</v>
      </c>
      <c r="L11" s="297"/>
      <c r="M11" s="293" t="s">
        <v>63</v>
      </c>
      <c r="N11" s="297"/>
      <c r="O11" s="293" t="s">
        <v>63</v>
      </c>
      <c r="P11" s="297"/>
      <c r="Q11" s="293" t="s">
        <v>63</v>
      </c>
      <c r="R11" s="297"/>
      <c r="S11" s="293" t="s">
        <v>63</v>
      </c>
      <c r="T11" s="297"/>
      <c r="U11" s="293" t="s">
        <v>63</v>
      </c>
      <c r="V11" s="297"/>
      <c r="W11" s="293" t="s">
        <v>63</v>
      </c>
      <c r="X11" s="297"/>
      <c r="Y11" s="293" t="s">
        <v>63</v>
      </c>
      <c r="Z11" s="295"/>
      <c r="AA11" s="12"/>
      <c r="AB11" s="328"/>
      <c r="AC11" s="15"/>
      <c r="AD11" s="300"/>
      <c r="AE11" s="17"/>
      <c r="AF11" s="344"/>
      <c r="AG11" s="344"/>
      <c r="AH11" s="381"/>
      <c r="AI11" s="376"/>
      <c r="AJ11" s="388"/>
      <c r="AK11" s="14"/>
    </row>
    <row r="12" spans="2:37" ht="15" customHeight="1" thickBot="1">
      <c r="B12" s="289" t="s">
        <v>154</v>
      </c>
      <c r="C12" s="290"/>
      <c r="D12" s="290"/>
      <c r="E12" s="73"/>
      <c r="F12" s="75" t="b">
        <v>1</v>
      </c>
      <c r="G12" s="298"/>
      <c r="H12" s="297"/>
      <c r="I12" s="293"/>
      <c r="J12" s="297"/>
      <c r="K12" s="293"/>
      <c r="L12" s="297"/>
      <c r="M12" s="293"/>
      <c r="N12" s="297"/>
      <c r="O12" s="293"/>
      <c r="P12" s="297"/>
      <c r="Q12" s="293"/>
      <c r="R12" s="297"/>
      <c r="S12" s="293"/>
      <c r="T12" s="297"/>
      <c r="U12" s="293"/>
      <c r="V12" s="297"/>
      <c r="W12" s="293"/>
      <c r="X12" s="297"/>
      <c r="Y12" s="293"/>
      <c r="Z12" s="295"/>
      <c r="AA12" s="12"/>
      <c r="AB12" s="328"/>
      <c r="AC12" s="15"/>
      <c r="AD12" s="300"/>
      <c r="AE12" s="17"/>
      <c r="AF12" s="344"/>
      <c r="AG12" s="344"/>
      <c r="AH12" s="381"/>
      <c r="AI12" s="376"/>
      <c r="AJ12" s="388"/>
      <c r="AK12" s="14"/>
    </row>
    <row r="13" spans="2:37" ht="15" customHeight="1" thickTop="1" thickBot="1">
      <c r="B13" s="71"/>
      <c r="C13" s="71"/>
      <c r="D13" s="71"/>
      <c r="E13" s="71"/>
      <c r="F13" s="19"/>
      <c r="G13" s="298"/>
      <c r="H13" s="297"/>
      <c r="I13" s="293"/>
      <c r="J13" s="297"/>
      <c r="K13" s="293"/>
      <c r="L13" s="297"/>
      <c r="M13" s="293"/>
      <c r="N13" s="297"/>
      <c r="O13" s="293"/>
      <c r="P13" s="297"/>
      <c r="Q13" s="293"/>
      <c r="R13" s="297"/>
      <c r="S13" s="293"/>
      <c r="T13" s="297"/>
      <c r="U13" s="293"/>
      <c r="V13" s="297"/>
      <c r="W13" s="293"/>
      <c r="X13" s="297"/>
      <c r="Y13" s="293"/>
      <c r="Z13" s="295"/>
      <c r="AA13" s="12"/>
      <c r="AB13" s="328"/>
      <c r="AC13" s="15"/>
      <c r="AD13" s="300"/>
      <c r="AE13" s="17"/>
      <c r="AF13" s="344"/>
      <c r="AG13" s="344"/>
      <c r="AH13" s="381"/>
      <c r="AI13" s="376"/>
      <c r="AJ13" s="388"/>
      <c r="AK13" s="14"/>
    </row>
    <row r="14" spans="2:37" ht="14.4" customHeight="1" thickTop="1" thickBot="1">
      <c r="B14" s="285" t="s">
        <v>39</v>
      </c>
      <c r="C14" s="319" t="s">
        <v>40</v>
      </c>
      <c r="D14" s="319" t="s">
        <v>41</v>
      </c>
      <c r="E14" s="317" t="s">
        <v>42</v>
      </c>
      <c r="F14" s="19"/>
      <c r="G14" s="298"/>
      <c r="H14" s="297"/>
      <c r="I14" s="293"/>
      <c r="J14" s="297"/>
      <c r="K14" s="293"/>
      <c r="L14" s="297"/>
      <c r="M14" s="293"/>
      <c r="N14" s="297"/>
      <c r="O14" s="293"/>
      <c r="P14" s="297"/>
      <c r="Q14" s="293"/>
      <c r="R14" s="297"/>
      <c r="S14" s="293"/>
      <c r="T14" s="297"/>
      <c r="U14" s="293"/>
      <c r="V14" s="297"/>
      <c r="W14" s="293"/>
      <c r="X14" s="297"/>
      <c r="Y14" s="293"/>
      <c r="Z14" s="295"/>
      <c r="AA14" s="12"/>
      <c r="AB14" s="328"/>
      <c r="AC14" s="15"/>
      <c r="AD14" s="300"/>
      <c r="AE14" s="17"/>
      <c r="AF14" s="344"/>
      <c r="AG14" s="344"/>
      <c r="AH14" s="381"/>
      <c r="AI14" s="376"/>
      <c r="AJ14" s="388"/>
      <c r="AK14" s="14"/>
    </row>
    <row r="15" spans="2:37" ht="15" customHeight="1" thickTop="1" thickBot="1">
      <c r="B15" s="286"/>
      <c r="C15" s="320"/>
      <c r="D15" s="320"/>
      <c r="E15" s="318"/>
      <c r="F15" s="19"/>
      <c r="G15" s="55">
        <v>0.25</v>
      </c>
      <c r="H15" s="297"/>
      <c r="I15" s="56">
        <v>0.25</v>
      </c>
      <c r="J15" s="297"/>
      <c r="K15" s="56">
        <v>0.25</v>
      </c>
      <c r="L15" s="297"/>
      <c r="M15" s="56">
        <v>0.25</v>
      </c>
      <c r="N15" s="297"/>
      <c r="O15" s="56"/>
      <c r="P15" s="297"/>
      <c r="Q15" s="56"/>
      <c r="R15" s="297"/>
      <c r="S15" s="56"/>
      <c r="T15" s="297"/>
      <c r="U15" s="56"/>
      <c r="V15" s="297"/>
      <c r="W15" s="56"/>
      <c r="X15" s="297"/>
      <c r="Y15" s="56"/>
      <c r="Z15" s="295"/>
      <c r="AA15" s="12"/>
      <c r="AB15" s="328"/>
      <c r="AC15" s="15"/>
      <c r="AD15" s="300"/>
      <c r="AE15" s="17"/>
      <c r="AF15" s="344"/>
      <c r="AG15" s="344"/>
      <c r="AH15" s="381"/>
      <c r="AI15" s="376"/>
      <c r="AJ15" s="389"/>
      <c r="AK15" s="14"/>
    </row>
    <row r="16" spans="2:37" ht="15" customHeight="1" thickTop="1" thickBot="1">
      <c r="B16" s="45" t="s">
        <v>39</v>
      </c>
      <c r="C16" s="46" t="s">
        <v>47</v>
      </c>
      <c r="D16" s="46" t="s">
        <v>47</v>
      </c>
      <c r="E16" s="47" t="s">
        <v>47</v>
      </c>
      <c r="F16" s="27">
        <f>COUNTIF(G16,"&gt;0")
 +COUNTIF(I16,"&gt;0")
 +COUNTIF(K16,"&gt;0")
 +COUNTIF(M16,"&gt;0")
 +COUNTIF(O16,"&gt;0")
 +COUNTIF(Q16,"&gt;0")
 +COUNTIF(S16,"&gt;0")
 +COUNTIF(U16,"&gt;0")
 +COUNTIF(W16,"&gt;0")
 +COUNTIF(Y16,"&gt;0")</f>
        <v>4</v>
      </c>
      <c r="G16" s="48">
        <v>100</v>
      </c>
      <c r="H16" s="49">
        <f>IF(
    OR(OR(C16="",D16="",E16=""),ISBLANK($G$16)),
    "-",
    IF(
        AND($G$16&lt;&gt;"",G16=""),
        "INC",
  G16/$G$16
    )
)</f>
        <v>1</v>
      </c>
      <c r="I16" s="50">
        <v>50</v>
      </c>
      <c r="J16" s="49">
        <f>IF(
 OR(OR(C16="",D16="",E16=""),ISBLANK($I$16)),
 "-",
 IF(
        AND($I$16&lt;&gt;"",I16=""),
        "INC",
  I16/$I$16
 )
)</f>
        <v>1</v>
      </c>
      <c r="K16" s="50">
        <v>100</v>
      </c>
      <c r="L16" s="49">
        <f>IF(
 OR(OR(C16="",D16="",E16=""),ISBLANK($K$16)),
 "-",
 IF(
        AND($K$16&lt;&gt;"",K16=""),
  "INC",
  K16/$K$16
 )
)</f>
        <v>1</v>
      </c>
      <c r="M16" s="50">
        <v>50</v>
      </c>
      <c r="N16" s="49">
        <f>IF(
 OR(OR(C16="",D16="",E16=""),ISBLANK($M$16)),
 "-",
 IF(
        AND($M$16&lt;&gt;"",M16=""),
        "INC",
  M16/$M$16
 )
)</f>
        <v>1</v>
      </c>
      <c r="O16" s="50"/>
      <c r="P16" s="49" t="str">
        <f>IF(
 OR(OR(C16="",D16="",E16=""),ISBLANK($O$16)),
 "-",
 IF(
        AND($O$16&lt;&gt;"",O16=""),
        "INC",
  O16/$O$16
 )
)</f>
        <v>-</v>
      </c>
      <c r="Q16" s="50"/>
      <c r="R16" s="49" t="str">
        <f>IF(
 OR(OR(C16="",D16="",E16=""),ISBLANK($Q$16)),
 "-",
 IF(
        AND($Q$16&lt;&gt;"",Q16=""),
        "INC",
  Q16/$Q$16
 )
)</f>
        <v>-</v>
      </c>
      <c r="S16" s="50"/>
      <c r="T16" s="49" t="str">
        <f>IF(
 OR(OR(C16="",D16="",E16=""),ISBLANK($S$16)),
 "-",
 IF(
        AND($S$16&lt;&gt;"",S16=""),
        "INC",
  S16/$S$16
 )
)</f>
        <v>-</v>
      </c>
      <c r="U16" s="50"/>
      <c r="V16" s="49" t="str">
        <f>IF(
 OR(OR(C16="",D16="",E16=""),ISBLANK($U$16)),
 "-",
 IF(
        AND($U$16&lt;&gt;"",U16=""),
        "INC",
  U16/$U$16
 )
)</f>
        <v>-</v>
      </c>
      <c r="W16" s="50"/>
      <c r="X16" s="49" t="str">
        <f>IF(
 OR(OR(C16="",D16="",E16=""),ISBLANK($W$16)),
 "-",
 IF(
        AND($W$16&lt;&gt;"",W16=""),
        "INC",
  W16/$W$16
 )
)</f>
        <v>-</v>
      </c>
      <c r="Y16" s="50"/>
      <c r="Z16" s="51" t="str">
        <f>IF(
 OR(OR(C16="",D16="",E16=""),ISBLANK($Y$16)),
 "-",
 IF(
        AND($Y$16&lt;&gt;"",Y16=""),
        "INC",
  Y16/$Y$16
 )
)</f>
        <v>-</v>
      </c>
      <c r="AA16" s="13"/>
      <c r="AB16" s="52">
        <f>IF(
 OR(
  H16 = "INC",
  J16 = "INC",
  L16 = "INC",
  N16 = "INC",
  P16 = "INC",
  R16 = "INC",
  T16 = "INC",
  V16 = "INC",
  X16 = "INC",
  Z16 = "INC"
 ), "INC",
 IF(
  AND(
   H16 = "-",
   J16 = "-",
   L16 = "-",
   N16 = "-",
   P16 = "-",
   R16 = "-",
   T16 = "-",
   V16 = "-",
   X16 = "-",
   Z16 = "-"
  ), "-",
  (
   IFERROR((H16 * $G$15), 0) +
   IFERROR((J16 * $I$15), 0) +
   IFERROR((L16 * $K$15), 0) +
   IFERROR((N16 * $M$15), 0) +
   IFERROR((P16 * $O$15), 0) +
   IFERROR((R16 * $Q$15), 0) +
   IFERROR((T16 * $S$15), 0) +
   IFERROR((V16 * $U$15), 0) +
   IFERROR((X16 * $W$15), 0) +
   IFERROR((Z16 * $Y$15), 0)
  ) * 100
 )
)</f>
        <v>100</v>
      </c>
      <c r="AC16" s="16"/>
      <c r="AD16" s="53">
        <f>IF(C16="","-", (VLOOKUP(C16, 'Attendance Sheet'!$C$7:$F$62,4,FALSE)))</f>
        <v>0</v>
      </c>
      <c r="AE16" s="18"/>
      <c r="AF16" s="76">
        <f>PRELIM!AF16</f>
        <v>1</v>
      </c>
      <c r="AG16" s="76">
        <f>MIDTERM!AG16</f>
        <v>1</v>
      </c>
      <c r="AH16" s="146">
        <f>IF(AB16 = "INC",
 "INC",
 IF(
  AB16 = "-",
  "-",
  VLOOKUP(AB16,'Grade Config'!$C$6:$D$37,2)
 )
)</f>
        <v>1</v>
      </c>
      <c r="AI16" s="150">
        <f>IF(
    OR(AF16="INC",AG16="INC", AH16="INC"),
    "INC",
    IF(
        COUNT(AF16,AG16,AH16)=0,
        "-",
        ( IF(ISNUMBER(AF16),AF16,0) + IF(ISNUMBER(AG16),AG16,0) + IF(ISNUMBER(AH16),AH16,0) )
        / COUNT(AF16,AG16,AH16)
    )
)</f>
        <v>1</v>
      </c>
      <c r="AJ16" s="154"/>
      <c r="AK16" s="14"/>
    </row>
    <row r="17" spans="2:37" ht="15" customHeight="1" thickTop="1">
      <c r="B17" s="43">
        <v>1</v>
      </c>
      <c r="C17" s="58">
        <f>IF('Attendance Sheet'!C8 = "", "", 'Attendance Sheet'!C8)</f>
        <v>20214581735</v>
      </c>
      <c r="D17" s="58" t="str">
        <f>IF('Attendance Sheet'!D8 = "", "", 'Attendance Sheet'!D8)</f>
        <v>TestOnly1</v>
      </c>
      <c r="E17" s="60" t="str">
        <f>IF('Attendance Sheet'!E8 = "", "", 'Attendance Sheet'!E8)</f>
        <v>abcd</v>
      </c>
      <c r="F17" s="19"/>
      <c r="G17" s="44">
        <v>90</v>
      </c>
      <c r="H17" s="79">
        <f t="shared" ref="H17:H71" si="0">IF(
    OR(OR(C17="",D17="",E17=""),ISBLANK($G$16)),
    "-",
    IF(
        AND($G$16&lt;&gt;"",G17=""),
        "INC",
  G17/$G$16
    )
)</f>
        <v>0.9</v>
      </c>
      <c r="I17" s="20">
        <v>45</v>
      </c>
      <c r="J17" s="79">
        <f t="shared" ref="J17:J71" si="1">IF(
 OR(OR(C17="",D17="",E17=""),ISBLANK($I$16)),
 "-",
 IF(
        AND($I$16&lt;&gt;"",I17=""),
        "INC",
  I17/$I$16
 )
)</f>
        <v>0.9</v>
      </c>
      <c r="K17" s="20">
        <v>90</v>
      </c>
      <c r="L17" s="79">
        <f t="shared" ref="L17:L71" si="2">IF(
 OR(OR(C17="",D17="",E17=""),ISBLANK($K$16)),
 "-",
 IF(
        AND($K$16&lt;&gt;"",K17=""),
  "INC",
  K17/$K$16
 )
)</f>
        <v>0.9</v>
      </c>
      <c r="M17" s="20">
        <v>50</v>
      </c>
      <c r="N17" s="79">
        <f t="shared" ref="N17:N71" si="3">IF(
 OR(OR(C17="",D17="",E17=""),ISBLANK($M$16)),
 "-",
 IF(
        AND($M$16&lt;&gt;"",M17=""),
        "INC",
  M17/$M$16
 )
)</f>
        <v>1</v>
      </c>
      <c r="O17" s="20"/>
      <c r="P17" s="79" t="str">
        <f t="shared" ref="P17:P71" si="4">IF(
 OR(OR(C17="",D17="",E17=""),ISBLANK($O$16)),
 "-",
 IF(
        AND($O$16&lt;&gt;"",O17=""),
        "INC",
  O17/$O$16
 )
)</f>
        <v>-</v>
      </c>
      <c r="Q17" s="20"/>
      <c r="R17" s="79" t="str">
        <f t="shared" ref="R17:R71" si="5">IF(
 OR(OR(C17="",D17="",E17=""),ISBLANK($Q$16)),
 "-",
 IF(
        AND($Q$16&lt;&gt;"",Q17=""),
        "INC",
  Q17/$Q$16
 )
)</f>
        <v>-</v>
      </c>
      <c r="S17" s="20"/>
      <c r="T17" s="79" t="str">
        <f t="shared" ref="T17:T71" si="6">IF(
 OR(OR(C17="",D17="",E17=""),ISBLANK($S$16)),
 "-",
 IF(
        AND($S$16&lt;&gt;"",S17=""),
        "INC",
  S17/$S$16
 )
)</f>
        <v>-</v>
      </c>
      <c r="U17" s="20"/>
      <c r="V17" s="79" t="str">
        <f t="shared" ref="V17:V71" si="7">IF(
 OR(OR(C17="",D17="",E17=""),ISBLANK($U$16)),
 "-",
 IF(
        AND($U$16&lt;&gt;"",U17=""),
        "INC",
  U17/$U$16
 )
)</f>
        <v>-</v>
      </c>
      <c r="W17" s="20"/>
      <c r="X17" s="79" t="str">
        <f t="shared" ref="X17:X71" si="8">IF(
 OR(OR(C17="",D17="",E17=""),ISBLANK($W$16)),
 "-",
 IF(
        AND($W$16&lt;&gt;"",W17=""),
        "INC",
  W17/$W$16
 )
)</f>
        <v>-</v>
      </c>
      <c r="Y17" s="20"/>
      <c r="Z17" s="80" t="str">
        <f t="shared" ref="Z17:Z71" si="9">IF(
 OR(OR(C17="",D17="",E17=""),ISBLANK($Y$16)),
 "-",
 IF(
        AND($Y$16&lt;&gt;"",Y17=""),
        "INC",
  Y17/$Y$16
 )
)</f>
        <v>-</v>
      </c>
      <c r="AA17" s="13"/>
      <c r="AB17" s="81">
        <f t="shared" ref="AB17:AB71" si="10">IF(
 OR(
  H17 = "INC",
  J17 = "INC",
  L17 = "INC",
  N17 = "INC",
  P17 = "INC",
  R17 = "INC",
  T17 = "INC",
  V17 = "INC",
  X17 = "INC",
  Z17 = "INC"
 ), "INC",
 IF(
  AND(
   H17 = "-",
   J17 = "-",
   L17 = "-",
   N17 = "-",
   P17 = "-",
   R17 = "-",
   T17 = "-",
   V17 = "-",
   X17 = "-",
   Z17 = "-"
  ), "-",
  (
   IFERROR((H17 * $G$15), 0) +
   IFERROR((J17 * $I$15), 0) +
   IFERROR((L17 * $K$15), 0) +
   IFERROR((N17 * $M$15), 0) +
   IFERROR((P17 * $O$15), 0) +
   IFERROR((R17 * $Q$15), 0) +
   IFERROR((T17 * $S$15), 0) +
   IFERROR((V17 * $U$15), 0) +
   IFERROR((X17 * $W$15), 0) +
   IFERROR((Z17 * $Y$15), 0)
  ) * 100
 )
)</f>
        <v>92.5</v>
      </c>
      <c r="AC17" s="16"/>
      <c r="AD17" s="38">
        <f>IF(C17="","-", (VLOOKUP(C17, 'Attendance Sheet'!$C$7:$F$62,4,FALSE)))</f>
        <v>2</v>
      </c>
      <c r="AE17" s="18"/>
      <c r="AF17" s="87">
        <f>PRELIM!AF17</f>
        <v>1.1000000000000001</v>
      </c>
      <c r="AG17" s="87">
        <f>MIDTERM!AG17</f>
        <v>3.1</v>
      </c>
      <c r="AH17" s="147">
        <f>IF(AB17 = "INC",
 "INC",
 IF(
  AB17 = "-",
  "-",
  VLOOKUP(AB17,'Grade Config'!$C$6:$D$37,2)
 )
)</f>
        <v>1.4</v>
      </c>
      <c r="AI17" s="151">
        <f t="shared" ref="AI17:AI71" si="11">IF(
    OR(AF17="INC",AG17="INC", AH17="INC"),
    "INC",
    IF(
        COUNT(AF17,AG17,AH17)=0,
        "-",
        ( IF(ISNUMBER(AF17),AF17,0) + IF(ISNUMBER(AG17),AG17,0) + IF(ISNUMBER(AH17),AH17,0) )
        / COUNT(AF17,AG17,AH17)
    )
)</f>
        <v>1.8666666666666665</v>
      </c>
      <c r="AJ17" s="155"/>
      <c r="AK17" s="14"/>
    </row>
    <row r="18" spans="2:37">
      <c r="B18" s="33">
        <v>2</v>
      </c>
      <c r="C18" s="57">
        <f>IF('Attendance Sheet'!C9 = "", "", 'Attendance Sheet'!C9)</f>
        <v>20301234567</v>
      </c>
      <c r="D18" s="57" t="str">
        <f>IF('Attendance Sheet'!D9 = "", "", 'Attendance Sheet'!D9)</f>
        <v>TestOnly2</v>
      </c>
      <c r="E18" s="61" t="str">
        <f>IF('Attendance Sheet'!E9 = "", "", 'Attendance Sheet'!E9)</f>
        <v>efg</v>
      </c>
      <c r="F18" s="19"/>
      <c r="G18" s="34">
        <v>98</v>
      </c>
      <c r="H18" s="68">
        <f t="shared" si="0"/>
        <v>0.98</v>
      </c>
      <c r="I18" s="41">
        <v>18</v>
      </c>
      <c r="J18" s="68">
        <f t="shared" si="1"/>
        <v>0.36</v>
      </c>
      <c r="K18" s="41">
        <v>59</v>
      </c>
      <c r="L18" s="68">
        <f t="shared" si="2"/>
        <v>0.59</v>
      </c>
      <c r="M18" s="41">
        <v>20</v>
      </c>
      <c r="N18" s="68">
        <f t="shared" si="3"/>
        <v>0.4</v>
      </c>
      <c r="O18" s="41"/>
      <c r="P18" s="68" t="str">
        <f t="shared" si="4"/>
        <v>-</v>
      </c>
      <c r="Q18" s="41"/>
      <c r="R18" s="68" t="str">
        <f t="shared" si="5"/>
        <v>-</v>
      </c>
      <c r="S18" s="41"/>
      <c r="T18" s="68" t="str">
        <f t="shared" si="6"/>
        <v>-</v>
      </c>
      <c r="U18" s="41"/>
      <c r="V18" s="68" t="str">
        <f t="shared" si="7"/>
        <v>-</v>
      </c>
      <c r="W18" s="41"/>
      <c r="X18" s="68" t="str">
        <f t="shared" si="8"/>
        <v>-</v>
      </c>
      <c r="Y18" s="41"/>
      <c r="Z18" s="69" t="str">
        <f t="shared" si="9"/>
        <v>-</v>
      </c>
      <c r="AA18" s="13"/>
      <c r="AB18" s="85">
        <f t="shared" si="10"/>
        <v>58.249999999999993</v>
      </c>
      <c r="AC18" s="16"/>
      <c r="AD18" s="36">
        <f>IF(C18="","-", (VLOOKUP(C18, 'Attendance Sheet'!$C$7:$F$62,4,FALSE)))</f>
        <v>1</v>
      </c>
      <c r="AE18" s="18"/>
      <c r="AF18" s="89">
        <f>PRELIM!AF18</f>
        <v>2.1</v>
      </c>
      <c r="AG18" s="89">
        <f>MIDTERM!AG18</f>
        <v>2.4</v>
      </c>
      <c r="AH18" s="149">
        <f>IF(AB18 = "INC",
 "INC",
 IF(
  AB18 = "-",
  "-",
  VLOOKUP(AB18,'Grade Config'!$C$6:$D$37,2)
 )
)</f>
        <v>3.1</v>
      </c>
      <c r="AI18" s="153">
        <f t="shared" si="11"/>
        <v>2.5333333333333332</v>
      </c>
      <c r="AJ18" s="156"/>
      <c r="AK18" s="14"/>
    </row>
    <row r="19" spans="2:37">
      <c r="B19" s="33">
        <v>3</v>
      </c>
      <c r="C19" s="57" t="str">
        <f>IF('Attendance Sheet'!C10 = "", "", 'Attendance Sheet'!C10)</f>
        <v>20351111111</v>
      </c>
      <c r="D19" s="57" t="str">
        <f>IF('Attendance Sheet'!D10 = "", "", 'Attendance Sheet'!D10)</f>
        <v>TestOnly3</v>
      </c>
      <c r="E19" s="61" t="str">
        <f>IF('Attendance Sheet'!E10 = "", "", 'Attendance Sheet'!E10)</f>
        <v>hijkl</v>
      </c>
      <c r="F19" s="19"/>
      <c r="G19" s="34">
        <v>70</v>
      </c>
      <c r="H19" s="68">
        <f t="shared" si="0"/>
        <v>0.7</v>
      </c>
      <c r="I19" s="41">
        <v>11</v>
      </c>
      <c r="J19" s="68">
        <f t="shared" si="1"/>
        <v>0.22</v>
      </c>
      <c r="K19" s="41">
        <v>58</v>
      </c>
      <c r="L19" s="68">
        <f t="shared" si="2"/>
        <v>0.57999999999999996</v>
      </c>
      <c r="M19" s="41">
        <v>24</v>
      </c>
      <c r="N19" s="68">
        <f t="shared" si="3"/>
        <v>0.48</v>
      </c>
      <c r="O19" s="41"/>
      <c r="P19" s="68" t="str">
        <f t="shared" si="4"/>
        <v>-</v>
      </c>
      <c r="Q19" s="41"/>
      <c r="R19" s="68" t="str">
        <f t="shared" si="5"/>
        <v>-</v>
      </c>
      <c r="S19" s="41"/>
      <c r="T19" s="68" t="str">
        <f t="shared" si="6"/>
        <v>-</v>
      </c>
      <c r="U19" s="41"/>
      <c r="V19" s="68" t="str">
        <f t="shared" si="7"/>
        <v>-</v>
      </c>
      <c r="W19" s="41"/>
      <c r="X19" s="68" t="str">
        <f t="shared" si="8"/>
        <v>-</v>
      </c>
      <c r="Y19" s="41"/>
      <c r="Z19" s="69" t="str">
        <f t="shared" si="9"/>
        <v>-</v>
      </c>
      <c r="AA19" s="13"/>
      <c r="AB19" s="85">
        <f t="shared" si="10"/>
        <v>49.5</v>
      </c>
      <c r="AC19" s="16"/>
      <c r="AD19" s="36">
        <f>IF(C19="","-", (VLOOKUP(C19, 'Attendance Sheet'!$C$7:$F$62,4,FALSE)))</f>
        <v>0</v>
      </c>
      <c r="AE19" s="18"/>
      <c r="AF19" s="89">
        <f>PRELIM!AF19</f>
        <v>3</v>
      </c>
      <c r="AG19" s="89">
        <f>MIDTERM!AG19</f>
        <v>1.5</v>
      </c>
      <c r="AH19" s="149">
        <f>IF(AB19 = "INC",
 "INC",
 IF(
  AB19 = "-",
  "-",
  VLOOKUP(AB19,'Grade Config'!$C$6:$D$37,2)
 )
)</f>
        <v>3.2</v>
      </c>
      <c r="AI19" s="153">
        <f t="shared" si="11"/>
        <v>2.5666666666666669</v>
      </c>
      <c r="AJ19" s="156"/>
      <c r="AK19" s="14"/>
    </row>
    <row r="20" spans="2:37">
      <c r="B20" s="33">
        <v>4</v>
      </c>
      <c r="C20" s="57" t="str">
        <f>IF('Attendance Sheet'!C11 = "", "", 'Attendance Sheet'!C11)</f>
        <v>20259876554</v>
      </c>
      <c r="D20" s="57" t="str">
        <f>IF('Attendance Sheet'!D11 = "", "", 'Attendance Sheet'!D11)</f>
        <v>TestOnly4</v>
      </c>
      <c r="E20" s="61" t="str">
        <f>IF('Attendance Sheet'!E11 = "", "", 'Attendance Sheet'!E11)</f>
        <v>qweasd</v>
      </c>
      <c r="F20" s="19"/>
      <c r="G20" s="34">
        <v>95</v>
      </c>
      <c r="H20" s="68">
        <f t="shared" si="0"/>
        <v>0.95</v>
      </c>
      <c r="I20" s="41">
        <v>25</v>
      </c>
      <c r="J20" s="68">
        <f t="shared" si="1"/>
        <v>0.5</v>
      </c>
      <c r="K20" s="41">
        <v>37</v>
      </c>
      <c r="L20" s="68">
        <f t="shared" si="2"/>
        <v>0.37</v>
      </c>
      <c r="M20" s="41">
        <v>29</v>
      </c>
      <c r="N20" s="68">
        <f t="shared" si="3"/>
        <v>0.57999999999999996</v>
      </c>
      <c r="O20" s="41"/>
      <c r="P20" s="68" t="str">
        <f t="shared" si="4"/>
        <v>-</v>
      </c>
      <c r="Q20" s="41"/>
      <c r="R20" s="68" t="str">
        <f t="shared" si="5"/>
        <v>-</v>
      </c>
      <c r="S20" s="41"/>
      <c r="T20" s="68" t="str">
        <f t="shared" si="6"/>
        <v>-</v>
      </c>
      <c r="U20" s="41"/>
      <c r="V20" s="68" t="str">
        <f t="shared" si="7"/>
        <v>-</v>
      </c>
      <c r="W20" s="41"/>
      <c r="X20" s="68" t="str">
        <f t="shared" si="8"/>
        <v>-</v>
      </c>
      <c r="Y20" s="41"/>
      <c r="Z20" s="69" t="str">
        <f t="shared" si="9"/>
        <v>-</v>
      </c>
      <c r="AA20" s="13"/>
      <c r="AB20" s="85">
        <f t="shared" si="10"/>
        <v>60</v>
      </c>
      <c r="AC20" s="16"/>
      <c r="AD20" s="36">
        <f>IF(C20="","-", (VLOOKUP(C20, 'Attendance Sheet'!$C$7:$F$62,4,FALSE)))</f>
        <v>1</v>
      </c>
      <c r="AE20" s="18"/>
      <c r="AF20" s="89">
        <f>PRELIM!AF20</f>
        <v>3.4</v>
      </c>
      <c r="AG20" s="89" t="str">
        <f>MIDTERM!AG20</f>
        <v>INC</v>
      </c>
      <c r="AH20" s="149">
        <f>IF(AB20 = "INC",
 "INC",
 IF(
  AB20 = "-",
  "-",
  VLOOKUP(AB20,'Grade Config'!$C$6:$D$37,2)
 )
)</f>
        <v>3</v>
      </c>
      <c r="AI20" s="153" t="str">
        <f t="shared" si="11"/>
        <v>INC</v>
      </c>
      <c r="AJ20" s="156"/>
      <c r="AK20" s="14"/>
    </row>
    <row r="21" spans="2:37">
      <c r="B21" s="33">
        <v>5</v>
      </c>
      <c r="C21" s="57" t="str">
        <f>IF('Attendance Sheet'!C12 = "", "", 'Attendance Sheet'!C12)</f>
        <v>20251234567</v>
      </c>
      <c r="D21" s="57" t="str">
        <f>IF('Attendance Sheet'!D12 = "", "", 'Attendance Sheet'!D12)</f>
        <v>TestOnly5</v>
      </c>
      <c r="E21" s="61" t="str">
        <f>IF('Attendance Sheet'!E12 = "", "", 'Attendance Sheet'!E12)</f>
        <v>wkoqwke</v>
      </c>
      <c r="F21" s="19"/>
      <c r="G21" s="34">
        <v>66</v>
      </c>
      <c r="H21" s="68">
        <f t="shared" si="0"/>
        <v>0.66</v>
      </c>
      <c r="I21" s="41">
        <v>19</v>
      </c>
      <c r="J21" s="68">
        <f t="shared" si="1"/>
        <v>0.38</v>
      </c>
      <c r="K21" s="41">
        <v>49</v>
      </c>
      <c r="L21" s="68">
        <f t="shared" si="2"/>
        <v>0.49</v>
      </c>
      <c r="M21" s="41">
        <v>40</v>
      </c>
      <c r="N21" s="68">
        <f t="shared" si="3"/>
        <v>0.8</v>
      </c>
      <c r="O21" s="41"/>
      <c r="P21" s="68" t="str">
        <f t="shared" si="4"/>
        <v>-</v>
      </c>
      <c r="Q21" s="41"/>
      <c r="R21" s="68" t="str">
        <f t="shared" si="5"/>
        <v>-</v>
      </c>
      <c r="S21" s="41"/>
      <c r="T21" s="68" t="str">
        <f t="shared" si="6"/>
        <v>-</v>
      </c>
      <c r="U21" s="41"/>
      <c r="V21" s="68" t="str">
        <f t="shared" si="7"/>
        <v>-</v>
      </c>
      <c r="W21" s="41"/>
      <c r="X21" s="68" t="str">
        <f t="shared" si="8"/>
        <v>-</v>
      </c>
      <c r="Y21" s="41"/>
      <c r="Z21" s="69" t="str">
        <f t="shared" si="9"/>
        <v>-</v>
      </c>
      <c r="AA21" s="13"/>
      <c r="AB21" s="85">
        <f t="shared" si="10"/>
        <v>58.25</v>
      </c>
      <c r="AC21" s="16"/>
      <c r="AD21" s="36">
        <f>IF(C21="","-", (VLOOKUP(C21, 'Attendance Sheet'!$C$7:$F$62,4,FALSE)))</f>
        <v>0</v>
      </c>
      <c r="AE21" s="18"/>
      <c r="AF21" s="89" t="str">
        <f>PRELIM!AF21</f>
        <v>INC</v>
      </c>
      <c r="AG21" s="89">
        <f>MIDTERM!AG21</f>
        <v>1.8</v>
      </c>
      <c r="AH21" s="149">
        <f>IF(AB21 = "INC",
 "INC",
 IF(
  AB21 = "-",
  "-",
  VLOOKUP(AB21,'Grade Config'!$C$6:$D$37,2)
 )
)</f>
        <v>3.1</v>
      </c>
      <c r="AI21" s="153" t="str">
        <f t="shared" si="11"/>
        <v>INC</v>
      </c>
      <c r="AJ21" s="156"/>
      <c r="AK21" s="14"/>
    </row>
    <row r="22" spans="2:37">
      <c r="B22" s="33">
        <v>6</v>
      </c>
      <c r="C22" s="57" t="str">
        <f>IF('Attendance Sheet'!C13 = "", "", 'Attendance Sheet'!C13)</f>
        <v/>
      </c>
      <c r="D22" s="57" t="str">
        <f>IF('Attendance Sheet'!D13 = "", "", 'Attendance Sheet'!D13)</f>
        <v/>
      </c>
      <c r="E22" s="61" t="str">
        <f>IF('Attendance Sheet'!E13 = "", "", 'Attendance Sheet'!E13)</f>
        <v/>
      </c>
      <c r="F22" s="19"/>
      <c r="G22" s="34"/>
      <c r="H22" s="68" t="str">
        <f t="shared" si="0"/>
        <v>-</v>
      </c>
      <c r="I22" s="41"/>
      <c r="J22" s="68" t="str">
        <f t="shared" si="1"/>
        <v>-</v>
      </c>
      <c r="K22" s="41"/>
      <c r="L22" s="68" t="str">
        <f t="shared" si="2"/>
        <v>-</v>
      </c>
      <c r="M22" s="41"/>
      <c r="N22" s="68" t="str">
        <f t="shared" si="3"/>
        <v>-</v>
      </c>
      <c r="O22" s="41"/>
      <c r="P22" s="68" t="str">
        <f t="shared" si="4"/>
        <v>-</v>
      </c>
      <c r="Q22" s="41"/>
      <c r="R22" s="68" t="str">
        <f t="shared" si="5"/>
        <v>-</v>
      </c>
      <c r="S22" s="41"/>
      <c r="T22" s="68" t="str">
        <f t="shared" si="6"/>
        <v>-</v>
      </c>
      <c r="U22" s="41"/>
      <c r="V22" s="68" t="str">
        <f t="shared" si="7"/>
        <v>-</v>
      </c>
      <c r="W22" s="41"/>
      <c r="X22" s="68" t="str">
        <f t="shared" si="8"/>
        <v>-</v>
      </c>
      <c r="Y22" s="41"/>
      <c r="Z22" s="69" t="str">
        <f t="shared" si="9"/>
        <v>-</v>
      </c>
      <c r="AA22" s="13"/>
      <c r="AB22" s="85" t="str">
        <f t="shared" si="10"/>
        <v>-</v>
      </c>
      <c r="AC22" s="16"/>
      <c r="AD22" s="36" t="str">
        <f>IF(C22="","-", (VLOOKUP(C22, 'Attendance Sheet'!$C$7:$F$62,4,FALSE)))</f>
        <v>-</v>
      </c>
      <c r="AE22" s="18"/>
      <c r="AF22" s="89" t="str">
        <f>PRELIM!AF22</f>
        <v>-</v>
      </c>
      <c r="AG22" s="89" t="str">
        <f>MIDTERM!AG22</f>
        <v>-</v>
      </c>
      <c r="AH22" s="149" t="str">
        <f>IF(AB22 = "INC",
 "INC",
 IF(
  AB22 = "-",
  "-",
  VLOOKUP(AB22,'Grade Config'!$C$6:$D$37,2)
 )
)</f>
        <v>-</v>
      </c>
      <c r="AI22" s="153" t="str">
        <f t="shared" si="11"/>
        <v>-</v>
      </c>
      <c r="AJ22" s="156"/>
      <c r="AK22" s="14"/>
    </row>
    <row r="23" spans="2:37">
      <c r="B23" s="33">
        <v>7</v>
      </c>
      <c r="C23" s="57" t="str">
        <f>IF('Attendance Sheet'!C14 = "", "", 'Attendance Sheet'!C14)</f>
        <v/>
      </c>
      <c r="D23" s="57" t="str">
        <f>IF('Attendance Sheet'!D14 = "", "", 'Attendance Sheet'!D14)</f>
        <v/>
      </c>
      <c r="E23" s="61" t="str">
        <f>IF('Attendance Sheet'!E14 = "", "", 'Attendance Sheet'!E14)</f>
        <v/>
      </c>
      <c r="F23" s="19"/>
      <c r="G23" s="34"/>
      <c r="H23" s="68" t="str">
        <f t="shared" si="0"/>
        <v>-</v>
      </c>
      <c r="I23" s="41"/>
      <c r="J23" s="68" t="str">
        <f t="shared" si="1"/>
        <v>-</v>
      </c>
      <c r="K23" s="41"/>
      <c r="L23" s="68" t="str">
        <f t="shared" si="2"/>
        <v>-</v>
      </c>
      <c r="M23" s="41"/>
      <c r="N23" s="68" t="str">
        <f t="shared" si="3"/>
        <v>-</v>
      </c>
      <c r="O23" s="41"/>
      <c r="P23" s="68" t="str">
        <f t="shared" si="4"/>
        <v>-</v>
      </c>
      <c r="Q23" s="41"/>
      <c r="R23" s="68" t="str">
        <f t="shared" si="5"/>
        <v>-</v>
      </c>
      <c r="S23" s="41"/>
      <c r="T23" s="68" t="str">
        <f t="shared" si="6"/>
        <v>-</v>
      </c>
      <c r="U23" s="41"/>
      <c r="V23" s="68" t="str">
        <f t="shared" si="7"/>
        <v>-</v>
      </c>
      <c r="W23" s="41"/>
      <c r="X23" s="68" t="str">
        <f t="shared" si="8"/>
        <v>-</v>
      </c>
      <c r="Y23" s="41"/>
      <c r="Z23" s="69" t="str">
        <f t="shared" si="9"/>
        <v>-</v>
      </c>
      <c r="AA23" s="13"/>
      <c r="AB23" s="85" t="str">
        <f t="shared" si="10"/>
        <v>-</v>
      </c>
      <c r="AC23" s="16"/>
      <c r="AD23" s="36" t="str">
        <f>IF(C23="","-", (VLOOKUP(C23, 'Attendance Sheet'!$C$7:$F$62,4,FALSE)))</f>
        <v>-</v>
      </c>
      <c r="AE23" s="18"/>
      <c r="AF23" s="89" t="str">
        <f>PRELIM!AF23</f>
        <v>-</v>
      </c>
      <c r="AG23" s="89" t="str">
        <f>MIDTERM!AG23</f>
        <v>-</v>
      </c>
      <c r="AH23" s="149" t="str">
        <f>IF(AB23 = "INC",
 "INC",
 IF(
  AB23 = "-",
  "-",
  VLOOKUP(AB23,'Grade Config'!$C$6:$D$37,2)
 )
)</f>
        <v>-</v>
      </c>
      <c r="AI23" s="153" t="str">
        <f t="shared" si="11"/>
        <v>-</v>
      </c>
      <c r="AJ23" s="156"/>
      <c r="AK23" s="14"/>
    </row>
    <row r="24" spans="2:37">
      <c r="B24" s="33">
        <v>8</v>
      </c>
      <c r="C24" s="57" t="str">
        <f>IF('Attendance Sheet'!C15 = "", "", 'Attendance Sheet'!C15)</f>
        <v/>
      </c>
      <c r="D24" s="57" t="str">
        <f>IF('Attendance Sheet'!D15 = "", "", 'Attendance Sheet'!D15)</f>
        <v/>
      </c>
      <c r="E24" s="61" t="str">
        <f>IF('Attendance Sheet'!E15 = "", "", 'Attendance Sheet'!E15)</f>
        <v/>
      </c>
      <c r="F24" s="19"/>
      <c r="G24" s="34"/>
      <c r="H24" s="68" t="str">
        <f t="shared" si="0"/>
        <v>-</v>
      </c>
      <c r="I24" s="41"/>
      <c r="J24" s="68" t="str">
        <f t="shared" si="1"/>
        <v>-</v>
      </c>
      <c r="K24" s="41"/>
      <c r="L24" s="68" t="str">
        <f t="shared" si="2"/>
        <v>-</v>
      </c>
      <c r="M24" s="41"/>
      <c r="N24" s="68" t="str">
        <f t="shared" si="3"/>
        <v>-</v>
      </c>
      <c r="O24" s="41"/>
      <c r="P24" s="68" t="str">
        <f t="shared" si="4"/>
        <v>-</v>
      </c>
      <c r="Q24" s="41"/>
      <c r="R24" s="68" t="str">
        <f t="shared" si="5"/>
        <v>-</v>
      </c>
      <c r="S24" s="41"/>
      <c r="T24" s="68" t="str">
        <f t="shared" si="6"/>
        <v>-</v>
      </c>
      <c r="U24" s="41"/>
      <c r="V24" s="68" t="str">
        <f t="shared" si="7"/>
        <v>-</v>
      </c>
      <c r="W24" s="41"/>
      <c r="X24" s="68" t="str">
        <f t="shared" si="8"/>
        <v>-</v>
      </c>
      <c r="Y24" s="41"/>
      <c r="Z24" s="69" t="str">
        <f t="shared" si="9"/>
        <v>-</v>
      </c>
      <c r="AA24" s="13"/>
      <c r="AB24" s="85" t="str">
        <f t="shared" si="10"/>
        <v>-</v>
      </c>
      <c r="AC24" s="16"/>
      <c r="AD24" s="36" t="str">
        <f>IF(C24="","-", (VLOOKUP(C24, 'Attendance Sheet'!$C$7:$F$62,4,FALSE)))</f>
        <v>-</v>
      </c>
      <c r="AE24" s="18"/>
      <c r="AF24" s="89" t="str">
        <f>PRELIM!AF24</f>
        <v>-</v>
      </c>
      <c r="AG24" s="89" t="str">
        <f>MIDTERM!AG24</f>
        <v>-</v>
      </c>
      <c r="AH24" s="149" t="str">
        <f>IF(AB24 = "INC",
 "INC",
 IF(
  AB24 = "-",
  "-",
  VLOOKUP(AB24,'Grade Config'!$C$6:$D$37,2)
 )
)</f>
        <v>-</v>
      </c>
      <c r="AI24" s="153" t="str">
        <f t="shared" si="11"/>
        <v>-</v>
      </c>
      <c r="AJ24" s="156"/>
      <c r="AK24" s="14"/>
    </row>
    <row r="25" spans="2:37">
      <c r="B25" s="33">
        <v>9</v>
      </c>
      <c r="C25" s="57" t="str">
        <f>IF('Attendance Sheet'!C16 = "", "", 'Attendance Sheet'!C16)</f>
        <v/>
      </c>
      <c r="D25" s="57" t="str">
        <f>IF('Attendance Sheet'!D16 = "", "", 'Attendance Sheet'!D16)</f>
        <v/>
      </c>
      <c r="E25" s="61" t="str">
        <f>IF('Attendance Sheet'!E16 = "", "", 'Attendance Sheet'!E16)</f>
        <v/>
      </c>
      <c r="F25" s="19"/>
      <c r="G25" s="34"/>
      <c r="H25" s="68" t="str">
        <f t="shared" si="0"/>
        <v>-</v>
      </c>
      <c r="I25" s="41"/>
      <c r="J25" s="68" t="str">
        <f t="shared" si="1"/>
        <v>-</v>
      </c>
      <c r="K25" s="41"/>
      <c r="L25" s="68" t="str">
        <f t="shared" si="2"/>
        <v>-</v>
      </c>
      <c r="M25" s="41"/>
      <c r="N25" s="68" t="str">
        <f t="shared" si="3"/>
        <v>-</v>
      </c>
      <c r="O25" s="41"/>
      <c r="P25" s="68" t="str">
        <f t="shared" si="4"/>
        <v>-</v>
      </c>
      <c r="Q25" s="41"/>
      <c r="R25" s="68" t="str">
        <f t="shared" si="5"/>
        <v>-</v>
      </c>
      <c r="S25" s="41"/>
      <c r="T25" s="68" t="str">
        <f t="shared" si="6"/>
        <v>-</v>
      </c>
      <c r="U25" s="41"/>
      <c r="V25" s="68" t="str">
        <f t="shared" si="7"/>
        <v>-</v>
      </c>
      <c r="W25" s="41"/>
      <c r="X25" s="68" t="str">
        <f t="shared" si="8"/>
        <v>-</v>
      </c>
      <c r="Y25" s="41"/>
      <c r="Z25" s="69" t="str">
        <f t="shared" si="9"/>
        <v>-</v>
      </c>
      <c r="AA25" s="13"/>
      <c r="AB25" s="85" t="str">
        <f t="shared" si="10"/>
        <v>-</v>
      </c>
      <c r="AC25" s="16"/>
      <c r="AD25" s="36" t="str">
        <f>IF(C25="","-", (VLOOKUP(C25, 'Attendance Sheet'!$C$7:$F$62,4,FALSE)))</f>
        <v>-</v>
      </c>
      <c r="AE25" s="18"/>
      <c r="AF25" s="89" t="str">
        <f>PRELIM!AF25</f>
        <v>-</v>
      </c>
      <c r="AG25" s="89" t="str">
        <f>MIDTERM!AG25</f>
        <v>-</v>
      </c>
      <c r="AH25" s="149" t="str">
        <f>IF(AB25 = "INC",
 "INC",
 IF(
  AB25 = "-",
  "-",
  VLOOKUP(AB25,'Grade Config'!$C$6:$D$37,2)
 )
)</f>
        <v>-</v>
      </c>
      <c r="AI25" s="153" t="str">
        <f t="shared" si="11"/>
        <v>-</v>
      </c>
      <c r="AJ25" s="156"/>
      <c r="AK25" s="14"/>
    </row>
    <row r="26" spans="2:37">
      <c r="B26" s="33">
        <v>10</v>
      </c>
      <c r="C26" s="57" t="str">
        <f>IF('Attendance Sheet'!C17 = "", "", 'Attendance Sheet'!C17)</f>
        <v/>
      </c>
      <c r="D26" s="57" t="str">
        <f>IF('Attendance Sheet'!D17 = "", "", 'Attendance Sheet'!D17)</f>
        <v/>
      </c>
      <c r="E26" s="61" t="str">
        <f>IF('Attendance Sheet'!E17 = "", "", 'Attendance Sheet'!E17)</f>
        <v/>
      </c>
      <c r="F26" s="19"/>
      <c r="G26" s="34"/>
      <c r="H26" s="68" t="str">
        <f t="shared" si="0"/>
        <v>-</v>
      </c>
      <c r="I26" s="41"/>
      <c r="J26" s="68" t="str">
        <f t="shared" si="1"/>
        <v>-</v>
      </c>
      <c r="K26" s="41"/>
      <c r="L26" s="68" t="str">
        <f t="shared" si="2"/>
        <v>-</v>
      </c>
      <c r="M26" s="41"/>
      <c r="N26" s="68" t="str">
        <f t="shared" si="3"/>
        <v>-</v>
      </c>
      <c r="O26" s="41"/>
      <c r="P26" s="68" t="str">
        <f t="shared" si="4"/>
        <v>-</v>
      </c>
      <c r="Q26" s="41"/>
      <c r="R26" s="68" t="str">
        <f t="shared" si="5"/>
        <v>-</v>
      </c>
      <c r="S26" s="41"/>
      <c r="T26" s="68" t="str">
        <f t="shared" si="6"/>
        <v>-</v>
      </c>
      <c r="U26" s="41"/>
      <c r="V26" s="68" t="str">
        <f t="shared" si="7"/>
        <v>-</v>
      </c>
      <c r="W26" s="41"/>
      <c r="X26" s="68" t="str">
        <f t="shared" si="8"/>
        <v>-</v>
      </c>
      <c r="Y26" s="41"/>
      <c r="Z26" s="69" t="str">
        <f t="shared" si="9"/>
        <v>-</v>
      </c>
      <c r="AA26" s="13"/>
      <c r="AB26" s="85" t="str">
        <f t="shared" si="10"/>
        <v>-</v>
      </c>
      <c r="AC26" s="16"/>
      <c r="AD26" s="36" t="str">
        <f>IF(C26="","-", (VLOOKUP(C26, 'Attendance Sheet'!$C$7:$F$62,4,FALSE)))</f>
        <v>-</v>
      </c>
      <c r="AE26" s="18"/>
      <c r="AF26" s="89" t="str">
        <f>PRELIM!AF26</f>
        <v>-</v>
      </c>
      <c r="AG26" s="89" t="str">
        <f>MIDTERM!AG26</f>
        <v>-</v>
      </c>
      <c r="AH26" s="149" t="str">
        <f>IF(AB26 = "INC",
 "INC",
 IF(
  AB26 = "-",
  "-",
  VLOOKUP(AB26,'Grade Config'!$C$6:$D$37,2)
 )
)</f>
        <v>-</v>
      </c>
      <c r="AI26" s="153" t="str">
        <f t="shared" si="11"/>
        <v>-</v>
      </c>
      <c r="AJ26" s="156"/>
      <c r="AK26" s="14"/>
    </row>
    <row r="27" spans="2:37">
      <c r="B27" s="33">
        <v>11</v>
      </c>
      <c r="C27" s="57" t="str">
        <f>IF('Attendance Sheet'!C18 = "", "", 'Attendance Sheet'!C18)</f>
        <v/>
      </c>
      <c r="D27" s="57" t="str">
        <f>IF('Attendance Sheet'!D18 = "", "", 'Attendance Sheet'!D18)</f>
        <v/>
      </c>
      <c r="E27" s="61" t="str">
        <f>IF('Attendance Sheet'!E18 = "", "", 'Attendance Sheet'!E18)</f>
        <v/>
      </c>
      <c r="F27" s="19"/>
      <c r="G27" s="34"/>
      <c r="H27" s="68" t="str">
        <f t="shared" si="0"/>
        <v>-</v>
      </c>
      <c r="I27" s="41"/>
      <c r="J27" s="68" t="str">
        <f t="shared" si="1"/>
        <v>-</v>
      </c>
      <c r="K27" s="41"/>
      <c r="L27" s="68" t="str">
        <f t="shared" si="2"/>
        <v>-</v>
      </c>
      <c r="M27" s="41"/>
      <c r="N27" s="68" t="str">
        <f t="shared" si="3"/>
        <v>-</v>
      </c>
      <c r="O27" s="41"/>
      <c r="P27" s="68" t="str">
        <f t="shared" si="4"/>
        <v>-</v>
      </c>
      <c r="Q27" s="41"/>
      <c r="R27" s="68" t="str">
        <f t="shared" si="5"/>
        <v>-</v>
      </c>
      <c r="S27" s="41"/>
      <c r="T27" s="68" t="str">
        <f t="shared" si="6"/>
        <v>-</v>
      </c>
      <c r="U27" s="41"/>
      <c r="V27" s="68" t="str">
        <f t="shared" si="7"/>
        <v>-</v>
      </c>
      <c r="W27" s="41"/>
      <c r="X27" s="68" t="str">
        <f t="shared" si="8"/>
        <v>-</v>
      </c>
      <c r="Y27" s="41"/>
      <c r="Z27" s="69" t="str">
        <f t="shared" si="9"/>
        <v>-</v>
      </c>
      <c r="AA27" s="13"/>
      <c r="AB27" s="85" t="str">
        <f t="shared" si="10"/>
        <v>-</v>
      </c>
      <c r="AC27" s="16"/>
      <c r="AD27" s="36" t="str">
        <f>IF(C27="","-", (VLOOKUP(C27, 'Attendance Sheet'!$C$7:$F$62,4,FALSE)))</f>
        <v>-</v>
      </c>
      <c r="AE27" s="18"/>
      <c r="AF27" s="89" t="str">
        <f>PRELIM!AF27</f>
        <v>-</v>
      </c>
      <c r="AG27" s="89" t="str">
        <f>MIDTERM!AG27</f>
        <v>-</v>
      </c>
      <c r="AH27" s="149" t="str">
        <f>IF(AB27 = "INC",
 "INC",
 IF(
  AB27 = "-",
  "-",
  VLOOKUP(AB27,'Grade Config'!$C$6:$D$37,2)
 )
)</f>
        <v>-</v>
      </c>
      <c r="AI27" s="153" t="str">
        <f t="shared" si="11"/>
        <v>-</v>
      </c>
      <c r="AJ27" s="156"/>
      <c r="AK27" s="14"/>
    </row>
    <row r="28" spans="2:37">
      <c r="B28" s="33">
        <v>12</v>
      </c>
      <c r="C28" s="57" t="str">
        <f>IF('Attendance Sheet'!C19 = "", "", 'Attendance Sheet'!C19)</f>
        <v/>
      </c>
      <c r="D28" s="57" t="str">
        <f>IF('Attendance Sheet'!D19 = "", "", 'Attendance Sheet'!D19)</f>
        <v/>
      </c>
      <c r="E28" s="61" t="str">
        <f>IF('Attendance Sheet'!E19 = "", "", 'Attendance Sheet'!E19)</f>
        <v/>
      </c>
      <c r="F28" s="19"/>
      <c r="G28" s="34"/>
      <c r="H28" s="68" t="str">
        <f t="shared" si="0"/>
        <v>-</v>
      </c>
      <c r="I28" s="41"/>
      <c r="J28" s="68" t="str">
        <f t="shared" si="1"/>
        <v>-</v>
      </c>
      <c r="K28" s="41"/>
      <c r="L28" s="68" t="str">
        <f t="shared" si="2"/>
        <v>-</v>
      </c>
      <c r="M28" s="41"/>
      <c r="N28" s="68" t="str">
        <f t="shared" si="3"/>
        <v>-</v>
      </c>
      <c r="O28" s="41"/>
      <c r="P28" s="68" t="str">
        <f t="shared" si="4"/>
        <v>-</v>
      </c>
      <c r="Q28" s="41"/>
      <c r="R28" s="68" t="str">
        <f t="shared" si="5"/>
        <v>-</v>
      </c>
      <c r="S28" s="41"/>
      <c r="T28" s="68" t="str">
        <f t="shared" si="6"/>
        <v>-</v>
      </c>
      <c r="U28" s="41"/>
      <c r="V28" s="68" t="str">
        <f t="shared" si="7"/>
        <v>-</v>
      </c>
      <c r="W28" s="41"/>
      <c r="X28" s="68" t="str">
        <f t="shared" si="8"/>
        <v>-</v>
      </c>
      <c r="Y28" s="41"/>
      <c r="Z28" s="69" t="str">
        <f t="shared" si="9"/>
        <v>-</v>
      </c>
      <c r="AA28" s="13"/>
      <c r="AB28" s="85" t="str">
        <f t="shared" si="10"/>
        <v>-</v>
      </c>
      <c r="AC28" s="16"/>
      <c r="AD28" s="36" t="str">
        <f>IF(C28="","-", (VLOOKUP(C28, 'Attendance Sheet'!$C$7:$F$62,4,FALSE)))</f>
        <v>-</v>
      </c>
      <c r="AE28" s="18"/>
      <c r="AF28" s="89" t="str">
        <f>PRELIM!AF28</f>
        <v>-</v>
      </c>
      <c r="AG28" s="89" t="str">
        <f>MIDTERM!AG28</f>
        <v>-</v>
      </c>
      <c r="AH28" s="149" t="str">
        <f>IF(AB28 = "INC",
 "INC",
 IF(
  AB28 = "-",
  "-",
  VLOOKUP(AB28,'Grade Config'!$C$6:$D$37,2)
 )
)</f>
        <v>-</v>
      </c>
      <c r="AI28" s="153" t="str">
        <f t="shared" si="11"/>
        <v>-</v>
      </c>
      <c r="AJ28" s="156"/>
      <c r="AK28" s="14"/>
    </row>
    <row r="29" spans="2:37">
      <c r="B29" s="33">
        <v>13</v>
      </c>
      <c r="C29" s="57" t="str">
        <f>IF('Attendance Sheet'!C20 = "", "", 'Attendance Sheet'!C20)</f>
        <v/>
      </c>
      <c r="D29" s="57" t="str">
        <f>IF('Attendance Sheet'!D20 = "", "", 'Attendance Sheet'!D20)</f>
        <v/>
      </c>
      <c r="E29" s="61" t="str">
        <f>IF('Attendance Sheet'!E20 = "", "", 'Attendance Sheet'!E20)</f>
        <v/>
      </c>
      <c r="F29" s="19"/>
      <c r="G29" s="34"/>
      <c r="H29" s="68" t="str">
        <f t="shared" si="0"/>
        <v>-</v>
      </c>
      <c r="I29" s="41"/>
      <c r="J29" s="68" t="str">
        <f t="shared" si="1"/>
        <v>-</v>
      </c>
      <c r="K29" s="41"/>
      <c r="L29" s="68" t="str">
        <f t="shared" si="2"/>
        <v>-</v>
      </c>
      <c r="M29" s="41"/>
      <c r="N29" s="68" t="str">
        <f t="shared" si="3"/>
        <v>-</v>
      </c>
      <c r="O29" s="41"/>
      <c r="P29" s="68" t="str">
        <f t="shared" si="4"/>
        <v>-</v>
      </c>
      <c r="Q29" s="41"/>
      <c r="R29" s="68" t="str">
        <f t="shared" si="5"/>
        <v>-</v>
      </c>
      <c r="S29" s="41"/>
      <c r="T29" s="68" t="str">
        <f t="shared" si="6"/>
        <v>-</v>
      </c>
      <c r="U29" s="41"/>
      <c r="V29" s="68" t="str">
        <f t="shared" si="7"/>
        <v>-</v>
      </c>
      <c r="W29" s="41"/>
      <c r="X29" s="68" t="str">
        <f t="shared" si="8"/>
        <v>-</v>
      </c>
      <c r="Y29" s="41"/>
      <c r="Z29" s="69" t="str">
        <f t="shared" si="9"/>
        <v>-</v>
      </c>
      <c r="AA29" s="13"/>
      <c r="AB29" s="85" t="str">
        <f t="shared" si="10"/>
        <v>-</v>
      </c>
      <c r="AC29" s="16"/>
      <c r="AD29" s="36" t="str">
        <f>IF(C29="","-", (VLOOKUP(C29, 'Attendance Sheet'!$C$7:$F$62,4,FALSE)))</f>
        <v>-</v>
      </c>
      <c r="AE29" s="18"/>
      <c r="AF29" s="89" t="str">
        <f>PRELIM!AF29</f>
        <v>-</v>
      </c>
      <c r="AG29" s="89" t="str">
        <f>MIDTERM!AG29</f>
        <v>-</v>
      </c>
      <c r="AH29" s="149" t="str">
        <f>IF(AB29 = "INC",
 "INC",
 IF(
  AB29 = "-",
  "-",
  VLOOKUP(AB29,'Grade Config'!$C$6:$D$37,2)
 )
)</f>
        <v>-</v>
      </c>
      <c r="AI29" s="153" t="str">
        <f t="shared" si="11"/>
        <v>-</v>
      </c>
      <c r="AJ29" s="156"/>
      <c r="AK29" s="14"/>
    </row>
    <row r="30" spans="2:37">
      <c r="B30" s="33">
        <v>14</v>
      </c>
      <c r="C30" s="57" t="str">
        <f>IF('Attendance Sheet'!C21 = "", "", 'Attendance Sheet'!C21)</f>
        <v/>
      </c>
      <c r="D30" s="57" t="str">
        <f>IF('Attendance Sheet'!D21 = "", "", 'Attendance Sheet'!D21)</f>
        <v/>
      </c>
      <c r="E30" s="61" t="str">
        <f>IF('Attendance Sheet'!E21 = "", "", 'Attendance Sheet'!E21)</f>
        <v/>
      </c>
      <c r="F30" s="19"/>
      <c r="G30" s="34"/>
      <c r="H30" s="68" t="str">
        <f t="shared" si="0"/>
        <v>-</v>
      </c>
      <c r="I30" s="41"/>
      <c r="J30" s="68" t="str">
        <f t="shared" si="1"/>
        <v>-</v>
      </c>
      <c r="K30" s="41"/>
      <c r="L30" s="68" t="str">
        <f t="shared" si="2"/>
        <v>-</v>
      </c>
      <c r="M30" s="41"/>
      <c r="N30" s="68" t="str">
        <f t="shared" si="3"/>
        <v>-</v>
      </c>
      <c r="O30" s="41"/>
      <c r="P30" s="68" t="str">
        <f t="shared" si="4"/>
        <v>-</v>
      </c>
      <c r="Q30" s="41"/>
      <c r="R30" s="68" t="str">
        <f t="shared" si="5"/>
        <v>-</v>
      </c>
      <c r="S30" s="41"/>
      <c r="T30" s="68" t="str">
        <f t="shared" si="6"/>
        <v>-</v>
      </c>
      <c r="U30" s="41"/>
      <c r="V30" s="68" t="str">
        <f t="shared" si="7"/>
        <v>-</v>
      </c>
      <c r="W30" s="41"/>
      <c r="X30" s="68" t="str">
        <f t="shared" si="8"/>
        <v>-</v>
      </c>
      <c r="Y30" s="41"/>
      <c r="Z30" s="69" t="str">
        <f t="shared" si="9"/>
        <v>-</v>
      </c>
      <c r="AA30" s="13"/>
      <c r="AB30" s="85" t="str">
        <f t="shared" si="10"/>
        <v>-</v>
      </c>
      <c r="AC30" s="16"/>
      <c r="AD30" s="36" t="str">
        <f>IF(C30="","-", (VLOOKUP(C30, 'Attendance Sheet'!$C$7:$F$62,4,FALSE)))</f>
        <v>-</v>
      </c>
      <c r="AE30" s="18"/>
      <c r="AF30" s="89" t="str">
        <f>PRELIM!AF30</f>
        <v>-</v>
      </c>
      <c r="AG30" s="89" t="str">
        <f>MIDTERM!AG30</f>
        <v>-</v>
      </c>
      <c r="AH30" s="149" t="str">
        <f>IF(AB30 = "INC",
 "INC",
 IF(
  AB30 = "-",
  "-",
  VLOOKUP(AB30,'Grade Config'!$C$6:$D$37,2)
 )
)</f>
        <v>-</v>
      </c>
      <c r="AI30" s="153" t="str">
        <f t="shared" si="11"/>
        <v>-</v>
      </c>
      <c r="AJ30" s="156"/>
      <c r="AK30" s="14"/>
    </row>
    <row r="31" spans="2:37">
      <c r="B31" s="33">
        <v>15</v>
      </c>
      <c r="C31" s="57" t="str">
        <f>IF('Attendance Sheet'!C22 = "", "", 'Attendance Sheet'!C22)</f>
        <v/>
      </c>
      <c r="D31" s="57" t="str">
        <f>IF('Attendance Sheet'!D22 = "", "", 'Attendance Sheet'!D22)</f>
        <v/>
      </c>
      <c r="E31" s="61" t="str">
        <f>IF('Attendance Sheet'!E22 = "", "", 'Attendance Sheet'!E22)</f>
        <v/>
      </c>
      <c r="F31" s="19"/>
      <c r="G31" s="34"/>
      <c r="H31" s="68" t="str">
        <f t="shared" si="0"/>
        <v>-</v>
      </c>
      <c r="I31" s="41"/>
      <c r="J31" s="68" t="str">
        <f t="shared" si="1"/>
        <v>-</v>
      </c>
      <c r="K31" s="41"/>
      <c r="L31" s="68" t="str">
        <f t="shared" si="2"/>
        <v>-</v>
      </c>
      <c r="M31" s="41"/>
      <c r="N31" s="68" t="str">
        <f t="shared" si="3"/>
        <v>-</v>
      </c>
      <c r="O31" s="41"/>
      <c r="P31" s="68" t="str">
        <f t="shared" si="4"/>
        <v>-</v>
      </c>
      <c r="Q31" s="41"/>
      <c r="R31" s="68" t="str">
        <f t="shared" si="5"/>
        <v>-</v>
      </c>
      <c r="S31" s="41"/>
      <c r="T31" s="68" t="str">
        <f t="shared" si="6"/>
        <v>-</v>
      </c>
      <c r="U31" s="41"/>
      <c r="V31" s="68" t="str">
        <f t="shared" si="7"/>
        <v>-</v>
      </c>
      <c r="W31" s="41"/>
      <c r="X31" s="68" t="str">
        <f t="shared" si="8"/>
        <v>-</v>
      </c>
      <c r="Y31" s="41"/>
      <c r="Z31" s="69" t="str">
        <f t="shared" si="9"/>
        <v>-</v>
      </c>
      <c r="AA31" s="13"/>
      <c r="AB31" s="85" t="str">
        <f t="shared" si="10"/>
        <v>-</v>
      </c>
      <c r="AC31" s="16"/>
      <c r="AD31" s="36" t="str">
        <f>IF(C31="","-", (VLOOKUP(C31, 'Attendance Sheet'!$C$7:$F$62,4,FALSE)))</f>
        <v>-</v>
      </c>
      <c r="AE31" s="18"/>
      <c r="AF31" s="89" t="str">
        <f>PRELIM!AF31</f>
        <v>-</v>
      </c>
      <c r="AG31" s="89" t="str">
        <f>MIDTERM!AG31</f>
        <v>-</v>
      </c>
      <c r="AH31" s="149" t="str">
        <f>IF(AB31 = "INC",
 "INC",
 IF(
  AB31 = "-",
  "-",
  VLOOKUP(AB31,'Grade Config'!$C$6:$D$37,2)
 )
)</f>
        <v>-</v>
      </c>
      <c r="AI31" s="153" t="str">
        <f t="shared" si="11"/>
        <v>-</v>
      </c>
      <c r="AJ31" s="156"/>
      <c r="AK31" s="14"/>
    </row>
    <row r="32" spans="2:37">
      <c r="B32" s="33">
        <v>16</v>
      </c>
      <c r="C32" s="57" t="str">
        <f>IF('Attendance Sheet'!C23 = "", "", 'Attendance Sheet'!C23)</f>
        <v/>
      </c>
      <c r="D32" s="57" t="str">
        <f>IF('Attendance Sheet'!D23 = "", "", 'Attendance Sheet'!D23)</f>
        <v/>
      </c>
      <c r="E32" s="61" t="str">
        <f>IF('Attendance Sheet'!E23 = "", "", 'Attendance Sheet'!E23)</f>
        <v/>
      </c>
      <c r="F32" s="19"/>
      <c r="G32" s="34"/>
      <c r="H32" s="68" t="str">
        <f t="shared" si="0"/>
        <v>-</v>
      </c>
      <c r="I32" s="41"/>
      <c r="J32" s="68" t="str">
        <f t="shared" si="1"/>
        <v>-</v>
      </c>
      <c r="K32" s="41"/>
      <c r="L32" s="68" t="str">
        <f t="shared" si="2"/>
        <v>-</v>
      </c>
      <c r="M32" s="41"/>
      <c r="N32" s="68" t="str">
        <f t="shared" si="3"/>
        <v>-</v>
      </c>
      <c r="O32" s="41"/>
      <c r="P32" s="68" t="str">
        <f t="shared" si="4"/>
        <v>-</v>
      </c>
      <c r="Q32" s="41"/>
      <c r="R32" s="68" t="str">
        <f t="shared" si="5"/>
        <v>-</v>
      </c>
      <c r="S32" s="41"/>
      <c r="T32" s="68" t="str">
        <f t="shared" si="6"/>
        <v>-</v>
      </c>
      <c r="U32" s="41"/>
      <c r="V32" s="68" t="str">
        <f t="shared" si="7"/>
        <v>-</v>
      </c>
      <c r="W32" s="41"/>
      <c r="X32" s="68" t="str">
        <f t="shared" si="8"/>
        <v>-</v>
      </c>
      <c r="Y32" s="41"/>
      <c r="Z32" s="69" t="str">
        <f t="shared" si="9"/>
        <v>-</v>
      </c>
      <c r="AA32" s="13"/>
      <c r="AB32" s="85" t="str">
        <f t="shared" si="10"/>
        <v>-</v>
      </c>
      <c r="AC32" s="16"/>
      <c r="AD32" s="36" t="str">
        <f>IF(C32="","-", (VLOOKUP(C32, 'Attendance Sheet'!$C$7:$F$62,4,FALSE)))</f>
        <v>-</v>
      </c>
      <c r="AE32" s="18"/>
      <c r="AF32" s="89" t="str">
        <f>PRELIM!AF32</f>
        <v>-</v>
      </c>
      <c r="AG32" s="89" t="str">
        <f>MIDTERM!AG32</f>
        <v>-</v>
      </c>
      <c r="AH32" s="149" t="str">
        <f>IF(AB32 = "INC",
 "INC",
 IF(
  AB32 = "-",
  "-",
  VLOOKUP(AB32,'Grade Config'!$C$6:$D$37,2)
 )
)</f>
        <v>-</v>
      </c>
      <c r="AI32" s="153" t="str">
        <f t="shared" si="11"/>
        <v>-</v>
      </c>
      <c r="AJ32" s="156"/>
      <c r="AK32" s="28"/>
    </row>
    <row r="33" spans="2:37">
      <c r="B33" s="33">
        <v>17</v>
      </c>
      <c r="C33" s="57" t="str">
        <f>IF('Attendance Sheet'!C24 = "", "", 'Attendance Sheet'!C24)</f>
        <v/>
      </c>
      <c r="D33" s="57" t="str">
        <f>IF('Attendance Sheet'!D24 = "", "", 'Attendance Sheet'!D24)</f>
        <v/>
      </c>
      <c r="E33" s="61" t="str">
        <f>IF('Attendance Sheet'!E24 = "", "", 'Attendance Sheet'!E24)</f>
        <v/>
      </c>
      <c r="F33" s="19"/>
      <c r="G33" s="34"/>
      <c r="H33" s="68" t="str">
        <f t="shared" si="0"/>
        <v>-</v>
      </c>
      <c r="I33" s="41"/>
      <c r="J33" s="68" t="str">
        <f t="shared" si="1"/>
        <v>-</v>
      </c>
      <c r="K33" s="41"/>
      <c r="L33" s="68" t="str">
        <f t="shared" si="2"/>
        <v>-</v>
      </c>
      <c r="M33" s="41"/>
      <c r="N33" s="68" t="str">
        <f t="shared" si="3"/>
        <v>-</v>
      </c>
      <c r="O33" s="41"/>
      <c r="P33" s="68" t="str">
        <f t="shared" si="4"/>
        <v>-</v>
      </c>
      <c r="Q33" s="41"/>
      <c r="R33" s="68" t="str">
        <f t="shared" si="5"/>
        <v>-</v>
      </c>
      <c r="S33" s="41"/>
      <c r="T33" s="68" t="str">
        <f t="shared" si="6"/>
        <v>-</v>
      </c>
      <c r="U33" s="41"/>
      <c r="V33" s="68" t="str">
        <f t="shared" si="7"/>
        <v>-</v>
      </c>
      <c r="W33" s="41"/>
      <c r="X33" s="68" t="str">
        <f t="shared" si="8"/>
        <v>-</v>
      </c>
      <c r="Y33" s="41"/>
      <c r="Z33" s="69" t="str">
        <f t="shared" si="9"/>
        <v>-</v>
      </c>
      <c r="AA33" s="13"/>
      <c r="AB33" s="85" t="str">
        <f t="shared" si="10"/>
        <v>-</v>
      </c>
      <c r="AC33" s="16"/>
      <c r="AD33" s="36" t="str">
        <f>IF(C33="","-", (VLOOKUP(C33, 'Attendance Sheet'!$C$7:$F$62,4,FALSE)))</f>
        <v>-</v>
      </c>
      <c r="AE33" s="18"/>
      <c r="AF33" s="89" t="str">
        <f>PRELIM!AF33</f>
        <v>-</v>
      </c>
      <c r="AG33" s="89" t="str">
        <f>MIDTERM!AG33</f>
        <v>-</v>
      </c>
      <c r="AH33" s="149" t="str">
        <f>IF(AB33 = "INC",
 "INC",
 IF(
  AB33 = "-",
  "-",
  VLOOKUP(AB33,'Grade Config'!$C$6:$D$37,2)
 )
)</f>
        <v>-</v>
      </c>
      <c r="AI33" s="153" t="str">
        <f t="shared" si="11"/>
        <v>-</v>
      </c>
      <c r="AJ33" s="156"/>
      <c r="AK33" s="14"/>
    </row>
    <row r="34" spans="2:37">
      <c r="B34" s="33">
        <v>18</v>
      </c>
      <c r="C34" s="57" t="str">
        <f>IF('Attendance Sheet'!C25 = "", "", 'Attendance Sheet'!C25)</f>
        <v/>
      </c>
      <c r="D34" s="57" t="str">
        <f>IF('Attendance Sheet'!D25 = "", "", 'Attendance Sheet'!D25)</f>
        <v/>
      </c>
      <c r="E34" s="61" t="str">
        <f>IF('Attendance Sheet'!E25 = "", "", 'Attendance Sheet'!E25)</f>
        <v/>
      </c>
      <c r="F34" s="19"/>
      <c r="G34" s="34"/>
      <c r="H34" s="68" t="str">
        <f t="shared" si="0"/>
        <v>-</v>
      </c>
      <c r="I34" s="41"/>
      <c r="J34" s="68" t="str">
        <f t="shared" si="1"/>
        <v>-</v>
      </c>
      <c r="K34" s="41"/>
      <c r="L34" s="68" t="str">
        <f t="shared" si="2"/>
        <v>-</v>
      </c>
      <c r="M34" s="41"/>
      <c r="N34" s="68" t="str">
        <f t="shared" si="3"/>
        <v>-</v>
      </c>
      <c r="O34" s="41"/>
      <c r="P34" s="68" t="str">
        <f t="shared" si="4"/>
        <v>-</v>
      </c>
      <c r="Q34" s="41"/>
      <c r="R34" s="68" t="str">
        <f t="shared" si="5"/>
        <v>-</v>
      </c>
      <c r="S34" s="41"/>
      <c r="T34" s="68" t="str">
        <f t="shared" si="6"/>
        <v>-</v>
      </c>
      <c r="U34" s="41"/>
      <c r="V34" s="68" t="str">
        <f t="shared" si="7"/>
        <v>-</v>
      </c>
      <c r="W34" s="41"/>
      <c r="X34" s="68" t="str">
        <f t="shared" si="8"/>
        <v>-</v>
      </c>
      <c r="Y34" s="41"/>
      <c r="Z34" s="69" t="str">
        <f t="shared" si="9"/>
        <v>-</v>
      </c>
      <c r="AA34" s="13"/>
      <c r="AB34" s="85" t="str">
        <f t="shared" si="10"/>
        <v>-</v>
      </c>
      <c r="AC34" s="16"/>
      <c r="AD34" s="36" t="str">
        <f>IF(C34="","-", (VLOOKUP(C34, 'Attendance Sheet'!$C$7:$F$62,4,FALSE)))</f>
        <v>-</v>
      </c>
      <c r="AE34" s="18"/>
      <c r="AF34" s="89" t="str">
        <f>PRELIM!AF34</f>
        <v>-</v>
      </c>
      <c r="AG34" s="89" t="str">
        <f>MIDTERM!AG34</f>
        <v>-</v>
      </c>
      <c r="AH34" s="149" t="str">
        <f>IF(AB34 = "INC",
 "INC",
 IF(
  AB34 = "-",
  "-",
  VLOOKUP(AB34,'Grade Config'!$C$6:$D$37,2)
 )
)</f>
        <v>-</v>
      </c>
      <c r="AI34" s="153" t="str">
        <f t="shared" si="11"/>
        <v>-</v>
      </c>
      <c r="AJ34" s="156"/>
      <c r="AK34" s="14"/>
    </row>
    <row r="35" spans="2:37">
      <c r="B35" s="33">
        <v>19</v>
      </c>
      <c r="C35" s="57" t="str">
        <f>IF('Attendance Sheet'!C26 = "", "", 'Attendance Sheet'!C26)</f>
        <v/>
      </c>
      <c r="D35" s="57" t="str">
        <f>IF('Attendance Sheet'!D26 = "", "", 'Attendance Sheet'!D26)</f>
        <v/>
      </c>
      <c r="E35" s="61" t="str">
        <f>IF('Attendance Sheet'!E26 = "", "", 'Attendance Sheet'!E26)</f>
        <v/>
      </c>
      <c r="F35" s="19"/>
      <c r="G35" s="34"/>
      <c r="H35" s="68" t="str">
        <f t="shared" si="0"/>
        <v>-</v>
      </c>
      <c r="I35" s="41"/>
      <c r="J35" s="68" t="str">
        <f t="shared" si="1"/>
        <v>-</v>
      </c>
      <c r="K35" s="41"/>
      <c r="L35" s="68" t="str">
        <f t="shared" si="2"/>
        <v>-</v>
      </c>
      <c r="M35" s="41"/>
      <c r="N35" s="68" t="str">
        <f t="shared" si="3"/>
        <v>-</v>
      </c>
      <c r="O35" s="41"/>
      <c r="P35" s="68" t="str">
        <f t="shared" si="4"/>
        <v>-</v>
      </c>
      <c r="Q35" s="41"/>
      <c r="R35" s="68" t="str">
        <f t="shared" si="5"/>
        <v>-</v>
      </c>
      <c r="S35" s="41"/>
      <c r="T35" s="68" t="str">
        <f t="shared" si="6"/>
        <v>-</v>
      </c>
      <c r="U35" s="41"/>
      <c r="V35" s="68" t="str">
        <f t="shared" si="7"/>
        <v>-</v>
      </c>
      <c r="W35" s="41"/>
      <c r="X35" s="68" t="str">
        <f t="shared" si="8"/>
        <v>-</v>
      </c>
      <c r="Y35" s="41"/>
      <c r="Z35" s="69" t="str">
        <f t="shared" si="9"/>
        <v>-</v>
      </c>
      <c r="AA35" s="13"/>
      <c r="AB35" s="85" t="str">
        <f t="shared" si="10"/>
        <v>-</v>
      </c>
      <c r="AC35" s="16"/>
      <c r="AD35" s="36" t="str">
        <f>IF(C35="","-", (VLOOKUP(C35, 'Attendance Sheet'!$C$7:$F$62,4,FALSE)))</f>
        <v>-</v>
      </c>
      <c r="AE35" s="18"/>
      <c r="AF35" s="89" t="str">
        <f>PRELIM!AF35</f>
        <v>-</v>
      </c>
      <c r="AG35" s="89" t="str">
        <f>MIDTERM!AG35</f>
        <v>-</v>
      </c>
      <c r="AH35" s="149" t="str">
        <f>IF(AB35 = "INC",
 "INC",
 IF(
  AB35 = "-",
  "-",
  VLOOKUP(AB35,'Grade Config'!$C$6:$D$37,2)
 )
)</f>
        <v>-</v>
      </c>
      <c r="AI35" s="153" t="str">
        <f t="shared" si="11"/>
        <v>-</v>
      </c>
      <c r="AJ35" s="156"/>
      <c r="AK35" s="14"/>
    </row>
    <row r="36" spans="2:37">
      <c r="B36" s="33">
        <v>20</v>
      </c>
      <c r="C36" s="57" t="str">
        <f>IF('Attendance Sheet'!C27 = "", "", 'Attendance Sheet'!C27)</f>
        <v/>
      </c>
      <c r="D36" s="57" t="str">
        <f>IF('Attendance Sheet'!D27 = "", "", 'Attendance Sheet'!D27)</f>
        <v/>
      </c>
      <c r="E36" s="61" t="str">
        <f>IF('Attendance Sheet'!E27 = "", "", 'Attendance Sheet'!E27)</f>
        <v/>
      </c>
      <c r="F36" s="19"/>
      <c r="G36" s="34"/>
      <c r="H36" s="68" t="str">
        <f t="shared" si="0"/>
        <v>-</v>
      </c>
      <c r="I36" s="41"/>
      <c r="J36" s="68" t="str">
        <f t="shared" si="1"/>
        <v>-</v>
      </c>
      <c r="K36" s="41"/>
      <c r="L36" s="68" t="str">
        <f t="shared" si="2"/>
        <v>-</v>
      </c>
      <c r="M36" s="41"/>
      <c r="N36" s="68" t="str">
        <f t="shared" si="3"/>
        <v>-</v>
      </c>
      <c r="O36" s="41"/>
      <c r="P36" s="68" t="str">
        <f t="shared" si="4"/>
        <v>-</v>
      </c>
      <c r="Q36" s="41"/>
      <c r="R36" s="68" t="str">
        <f t="shared" si="5"/>
        <v>-</v>
      </c>
      <c r="S36" s="41"/>
      <c r="T36" s="68" t="str">
        <f t="shared" si="6"/>
        <v>-</v>
      </c>
      <c r="U36" s="41"/>
      <c r="V36" s="68" t="str">
        <f t="shared" si="7"/>
        <v>-</v>
      </c>
      <c r="W36" s="41"/>
      <c r="X36" s="68" t="str">
        <f t="shared" si="8"/>
        <v>-</v>
      </c>
      <c r="Y36" s="41"/>
      <c r="Z36" s="69" t="str">
        <f t="shared" si="9"/>
        <v>-</v>
      </c>
      <c r="AA36" s="13"/>
      <c r="AB36" s="85" t="str">
        <f t="shared" si="10"/>
        <v>-</v>
      </c>
      <c r="AC36" s="16"/>
      <c r="AD36" s="36" t="str">
        <f>IF(C36="","-", (VLOOKUP(C36, 'Attendance Sheet'!$C$7:$F$62,4,FALSE)))</f>
        <v>-</v>
      </c>
      <c r="AE36" s="18"/>
      <c r="AF36" s="89" t="str">
        <f>PRELIM!AF36</f>
        <v>-</v>
      </c>
      <c r="AG36" s="89" t="str">
        <f>MIDTERM!AG36</f>
        <v>-</v>
      </c>
      <c r="AH36" s="149" t="str">
        <f>IF(AB36 = "INC",
 "INC",
 IF(
  AB36 = "-",
  "-",
  VLOOKUP(AB36,'Grade Config'!$C$6:$D$37,2)
 )
)</f>
        <v>-</v>
      </c>
      <c r="AI36" s="153" t="str">
        <f t="shared" si="11"/>
        <v>-</v>
      </c>
      <c r="AJ36" s="156"/>
      <c r="AK36" s="14"/>
    </row>
    <row r="37" spans="2:37">
      <c r="B37" s="33">
        <v>21</v>
      </c>
      <c r="C37" s="57" t="str">
        <f>IF('Attendance Sheet'!C28 = "", "", 'Attendance Sheet'!C28)</f>
        <v/>
      </c>
      <c r="D37" s="57" t="str">
        <f>IF('Attendance Sheet'!D28 = "", "", 'Attendance Sheet'!D28)</f>
        <v/>
      </c>
      <c r="E37" s="61" t="str">
        <f>IF('Attendance Sheet'!E28 = "", "", 'Attendance Sheet'!E28)</f>
        <v/>
      </c>
      <c r="F37" s="19"/>
      <c r="G37" s="34"/>
      <c r="H37" s="68" t="str">
        <f t="shared" si="0"/>
        <v>-</v>
      </c>
      <c r="I37" s="41"/>
      <c r="J37" s="68" t="str">
        <f t="shared" si="1"/>
        <v>-</v>
      </c>
      <c r="K37" s="41"/>
      <c r="L37" s="68" t="str">
        <f t="shared" si="2"/>
        <v>-</v>
      </c>
      <c r="M37" s="41"/>
      <c r="N37" s="68" t="str">
        <f t="shared" si="3"/>
        <v>-</v>
      </c>
      <c r="O37" s="41"/>
      <c r="P37" s="68" t="str">
        <f t="shared" si="4"/>
        <v>-</v>
      </c>
      <c r="Q37" s="41"/>
      <c r="R37" s="68" t="str">
        <f t="shared" si="5"/>
        <v>-</v>
      </c>
      <c r="S37" s="41"/>
      <c r="T37" s="68" t="str">
        <f t="shared" si="6"/>
        <v>-</v>
      </c>
      <c r="U37" s="41"/>
      <c r="V37" s="68" t="str">
        <f t="shared" si="7"/>
        <v>-</v>
      </c>
      <c r="W37" s="41"/>
      <c r="X37" s="68" t="str">
        <f t="shared" si="8"/>
        <v>-</v>
      </c>
      <c r="Y37" s="41"/>
      <c r="Z37" s="69" t="str">
        <f t="shared" si="9"/>
        <v>-</v>
      </c>
      <c r="AA37" s="13"/>
      <c r="AB37" s="85" t="str">
        <f t="shared" si="10"/>
        <v>-</v>
      </c>
      <c r="AC37" s="16"/>
      <c r="AD37" s="36" t="str">
        <f>IF(C37="","-", (VLOOKUP(C37, 'Attendance Sheet'!$C$7:$F$62,4,FALSE)))</f>
        <v>-</v>
      </c>
      <c r="AE37" s="18"/>
      <c r="AF37" s="89" t="str">
        <f>PRELIM!AF37</f>
        <v>-</v>
      </c>
      <c r="AG37" s="89" t="str">
        <f>MIDTERM!AG37</f>
        <v>-</v>
      </c>
      <c r="AH37" s="149" t="str">
        <f>IF(AB37 = "INC",
 "INC",
 IF(
  AB37 = "-",
  "-",
  VLOOKUP(AB37,'Grade Config'!$C$6:$D$37,2)
 )
)</f>
        <v>-</v>
      </c>
      <c r="AI37" s="153" t="str">
        <f t="shared" si="11"/>
        <v>-</v>
      </c>
      <c r="AJ37" s="156"/>
      <c r="AK37" s="14"/>
    </row>
    <row r="38" spans="2:37">
      <c r="B38" s="33">
        <v>22</v>
      </c>
      <c r="C38" s="57" t="str">
        <f>IF('Attendance Sheet'!C29 = "", "", 'Attendance Sheet'!C29)</f>
        <v/>
      </c>
      <c r="D38" s="57" t="str">
        <f>IF('Attendance Sheet'!D29 = "", "", 'Attendance Sheet'!D29)</f>
        <v/>
      </c>
      <c r="E38" s="61" t="str">
        <f>IF('Attendance Sheet'!E29 = "", "", 'Attendance Sheet'!E29)</f>
        <v/>
      </c>
      <c r="F38" s="19"/>
      <c r="G38" s="34"/>
      <c r="H38" s="68" t="str">
        <f t="shared" si="0"/>
        <v>-</v>
      </c>
      <c r="I38" s="41"/>
      <c r="J38" s="68" t="str">
        <f t="shared" si="1"/>
        <v>-</v>
      </c>
      <c r="K38" s="41"/>
      <c r="L38" s="68" t="str">
        <f t="shared" si="2"/>
        <v>-</v>
      </c>
      <c r="M38" s="41"/>
      <c r="N38" s="68" t="str">
        <f t="shared" si="3"/>
        <v>-</v>
      </c>
      <c r="O38" s="41"/>
      <c r="P38" s="68" t="str">
        <f t="shared" si="4"/>
        <v>-</v>
      </c>
      <c r="Q38" s="41"/>
      <c r="R38" s="68" t="str">
        <f t="shared" si="5"/>
        <v>-</v>
      </c>
      <c r="S38" s="41"/>
      <c r="T38" s="68" t="str">
        <f t="shared" si="6"/>
        <v>-</v>
      </c>
      <c r="U38" s="41"/>
      <c r="V38" s="68" t="str">
        <f t="shared" si="7"/>
        <v>-</v>
      </c>
      <c r="W38" s="41"/>
      <c r="X38" s="68" t="str">
        <f t="shared" si="8"/>
        <v>-</v>
      </c>
      <c r="Y38" s="41"/>
      <c r="Z38" s="69" t="str">
        <f t="shared" si="9"/>
        <v>-</v>
      </c>
      <c r="AA38" s="13"/>
      <c r="AB38" s="85" t="str">
        <f t="shared" si="10"/>
        <v>-</v>
      </c>
      <c r="AC38" s="16"/>
      <c r="AD38" s="36" t="str">
        <f>IF(C38="","-", (VLOOKUP(C38, 'Attendance Sheet'!$C$7:$F$62,4,FALSE)))</f>
        <v>-</v>
      </c>
      <c r="AE38" s="18"/>
      <c r="AF38" s="89" t="str">
        <f>PRELIM!AF38</f>
        <v>-</v>
      </c>
      <c r="AG38" s="89" t="str">
        <f>MIDTERM!AG38</f>
        <v>-</v>
      </c>
      <c r="AH38" s="149" t="str">
        <f>IF(AB38 = "INC",
 "INC",
 IF(
  AB38 = "-",
  "-",
  VLOOKUP(AB38,'Grade Config'!$C$6:$D$37,2)
 )
)</f>
        <v>-</v>
      </c>
      <c r="AI38" s="153" t="str">
        <f t="shared" si="11"/>
        <v>-</v>
      </c>
      <c r="AJ38" s="156"/>
      <c r="AK38" s="14"/>
    </row>
    <row r="39" spans="2:37">
      <c r="B39" s="33">
        <v>23</v>
      </c>
      <c r="C39" s="57" t="str">
        <f>IF('Attendance Sheet'!C30 = "", "", 'Attendance Sheet'!C30)</f>
        <v/>
      </c>
      <c r="D39" s="57" t="str">
        <f>IF('Attendance Sheet'!D30 = "", "", 'Attendance Sheet'!D30)</f>
        <v/>
      </c>
      <c r="E39" s="61" t="str">
        <f>IF('Attendance Sheet'!E30 = "", "", 'Attendance Sheet'!E30)</f>
        <v/>
      </c>
      <c r="F39" s="19"/>
      <c r="G39" s="34"/>
      <c r="H39" s="68" t="str">
        <f t="shared" si="0"/>
        <v>-</v>
      </c>
      <c r="I39" s="41"/>
      <c r="J39" s="68" t="str">
        <f t="shared" si="1"/>
        <v>-</v>
      </c>
      <c r="K39" s="41"/>
      <c r="L39" s="68" t="str">
        <f t="shared" si="2"/>
        <v>-</v>
      </c>
      <c r="M39" s="41"/>
      <c r="N39" s="68" t="str">
        <f t="shared" si="3"/>
        <v>-</v>
      </c>
      <c r="O39" s="41"/>
      <c r="P39" s="68" t="str">
        <f t="shared" si="4"/>
        <v>-</v>
      </c>
      <c r="Q39" s="41"/>
      <c r="R39" s="68" t="str">
        <f t="shared" si="5"/>
        <v>-</v>
      </c>
      <c r="S39" s="41"/>
      <c r="T39" s="68" t="str">
        <f t="shared" si="6"/>
        <v>-</v>
      </c>
      <c r="U39" s="41"/>
      <c r="V39" s="68" t="str">
        <f t="shared" si="7"/>
        <v>-</v>
      </c>
      <c r="W39" s="41"/>
      <c r="X39" s="68" t="str">
        <f t="shared" si="8"/>
        <v>-</v>
      </c>
      <c r="Y39" s="41"/>
      <c r="Z39" s="69" t="str">
        <f t="shared" si="9"/>
        <v>-</v>
      </c>
      <c r="AA39" s="13"/>
      <c r="AB39" s="85" t="str">
        <f t="shared" si="10"/>
        <v>-</v>
      </c>
      <c r="AC39" s="16"/>
      <c r="AD39" s="36" t="str">
        <f>IF(C39="","-", (VLOOKUP(C39, 'Attendance Sheet'!$C$7:$F$62,4,FALSE)))</f>
        <v>-</v>
      </c>
      <c r="AE39" s="18"/>
      <c r="AF39" s="89" t="str">
        <f>PRELIM!AF39</f>
        <v>-</v>
      </c>
      <c r="AG39" s="89" t="str">
        <f>MIDTERM!AG39</f>
        <v>-</v>
      </c>
      <c r="AH39" s="149" t="str">
        <f>IF(AB39 = "INC",
 "INC",
 IF(
  AB39 = "-",
  "-",
  VLOOKUP(AB39,'Grade Config'!$C$6:$D$37,2)
 )
)</f>
        <v>-</v>
      </c>
      <c r="AI39" s="153" t="str">
        <f t="shared" si="11"/>
        <v>-</v>
      </c>
      <c r="AJ39" s="156"/>
      <c r="AK39" s="14"/>
    </row>
    <row r="40" spans="2:37">
      <c r="B40" s="33">
        <v>24</v>
      </c>
      <c r="C40" s="57" t="str">
        <f>IF('Attendance Sheet'!C31 = "", "", 'Attendance Sheet'!C31)</f>
        <v/>
      </c>
      <c r="D40" s="57" t="str">
        <f>IF('Attendance Sheet'!D31 = "", "", 'Attendance Sheet'!D31)</f>
        <v/>
      </c>
      <c r="E40" s="61" t="str">
        <f>IF('Attendance Sheet'!E31 = "", "", 'Attendance Sheet'!E31)</f>
        <v/>
      </c>
      <c r="F40" s="19"/>
      <c r="G40" s="34"/>
      <c r="H40" s="68" t="str">
        <f t="shared" si="0"/>
        <v>-</v>
      </c>
      <c r="I40" s="41"/>
      <c r="J40" s="68" t="str">
        <f t="shared" si="1"/>
        <v>-</v>
      </c>
      <c r="K40" s="41"/>
      <c r="L40" s="68" t="str">
        <f t="shared" si="2"/>
        <v>-</v>
      </c>
      <c r="M40" s="41"/>
      <c r="N40" s="68" t="str">
        <f t="shared" si="3"/>
        <v>-</v>
      </c>
      <c r="O40" s="41"/>
      <c r="P40" s="68" t="str">
        <f t="shared" si="4"/>
        <v>-</v>
      </c>
      <c r="Q40" s="41"/>
      <c r="R40" s="68" t="str">
        <f t="shared" si="5"/>
        <v>-</v>
      </c>
      <c r="S40" s="41"/>
      <c r="T40" s="68" t="str">
        <f t="shared" si="6"/>
        <v>-</v>
      </c>
      <c r="U40" s="41"/>
      <c r="V40" s="68" t="str">
        <f t="shared" si="7"/>
        <v>-</v>
      </c>
      <c r="W40" s="41"/>
      <c r="X40" s="68" t="str">
        <f t="shared" si="8"/>
        <v>-</v>
      </c>
      <c r="Y40" s="41"/>
      <c r="Z40" s="69" t="str">
        <f t="shared" si="9"/>
        <v>-</v>
      </c>
      <c r="AA40" s="13"/>
      <c r="AB40" s="85" t="str">
        <f t="shared" si="10"/>
        <v>-</v>
      </c>
      <c r="AC40" s="16"/>
      <c r="AD40" s="36" t="str">
        <f>IF(C40="","-", (VLOOKUP(C40, 'Attendance Sheet'!$C$7:$F$62,4,FALSE)))</f>
        <v>-</v>
      </c>
      <c r="AE40" s="18"/>
      <c r="AF40" s="89" t="str">
        <f>PRELIM!AF40</f>
        <v>-</v>
      </c>
      <c r="AG40" s="89" t="str">
        <f>MIDTERM!AG40</f>
        <v>-</v>
      </c>
      <c r="AH40" s="149" t="str">
        <f>IF(AB40 = "INC",
 "INC",
 IF(
  AB40 = "-",
  "-",
  VLOOKUP(AB40,'Grade Config'!$C$6:$D$37,2)
 )
)</f>
        <v>-</v>
      </c>
      <c r="AI40" s="153" t="str">
        <f t="shared" si="11"/>
        <v>-</v>
      </c>
      <c r="AJ40" s="156"/>
      <c r="AK40" s="14"/>
    </row>
    <row r="41" spans="2:37">
      <c r="B41" s="33">
        <v>25</v>
      </c>
      <c r="C41" s="57" t="str">
        <f>IF('Attendance Sheet'!C32 = "", "", 'Attendance Sheet'!C32)</f>
        <v/>
      </c>
      <c r="D41" s="57" t="str">
        <f>IF('Attendance Sheet'!D32 = "", "", 'Attendance Sheet'!D32)</f>
        <v/>
      </c>
      <c r="E41" s="61" t="str">
        <f>IF('Attendance Sheet'!E32 = "", "", 'Attendance Sheet'!E32)</f>
        <v/>
      </c>
      <c r="F41" s="19"/>
      <c r="G41" s="34"/>
      <c r="H41" s="68" t="str">
        <f t="shared" si="0"/>
        <v>-</v>
      </c>
      <c r="I41" s="41"/>
      <c r="J41" s="68" t="str">
        <f t="shared" si="1"/>
        <v>-</v>
      </c>
      <c r="K41" s="41"/>
      <c r="L41" s="68" t="str">
        <f t="shared" si="2"/>
        <v>-</v>
      </c>
      <c r="M41" s="41"/>
      <c r="N41" s="68" t="str">
        <f t="shared" si="3"/>
        <v>-</v>
      </c>
      <c r="O41" s="41"/>
      <c r="P41" s="68" t="str">
        <f t="shared" si="4"/>
        <v>-</v>
      </c>
      <c r="Q41" s="41"/>
      <c r="R41" s="68" t="str">
        <f t="shared" si="5"/>
        <v>-</v>
      </c>
      <c r="S41" s="41"/>
      <c r="T41" s="68" t="str">
        <f t="shared" si="6"/>
        <v>-</v>
      </c>
      <c r="U41" s="41"/>
      <c r="V41" s="68" t="str">
        <f t="shared" si="7"/>
        <v>-</v>
      </c>
      <c r="W41" s="41"/>
      <c r="X41" s="68" t="str">
        <f t="shared" si="8"/>
        <v>-</v>
      </c>
      <c r="Y41" s="41"/>
      <c r="Z41" s="69" t="str">
        <f t="shared" si="9"/>
        <v>-</v>
      </c>
      <c r="AA41" s="13"/>
      <c r="AB41" s="85" t="str">
        <f t="shared" si="10"/>
        <v>-</v>
      </c>
      <c r="AC41" s="16"/>
      <c r="AD41" s="36" t="str">
        <f>IF(C41="","-", (VLOOKUP(C41, 'Attendance Sheet'!$C$7:$F$62,4,FALSE)))</f>
        <v>-</v>
      </c>
      <c r="AE41" s="18"/>
      <c r="AF41" s="89" t="str">
        <f>PRELIM!AF41</f>
        <v>-</v>
      </c>
      <c r="AG41" s="89" t="str">
        <f>MIDTERM!AG41</f>
        <v>-</v>
      </c>
      <c r="AH41" s="149" t="str">
        <f>IF(AB41 = "INC",
 "INC",
 IF(
  AB41 = "-",
  "-",
  VLOOKUP(AB41,'Grade Config'!$C$6:$D$37,2)
 )
)</f>
        <v>-</v>
      </c>
      <c r="AI41" s="153" t="str">
        <f t="shared" si="11"/>
        <v>-</v>
      </c>
      <c r="AJ41" s="156"/>
      <c r="AK41" s="14"/>
    </row>
    <row r="42" spans="2:37">
      <c r="B42" s="33">
        <v>26</v>
      </c>
      <c r="C42" s="57" t="str">
        <f>IF('Attendance Sheet'!C33 = "", "", 'Attendance Sheet'!C33)</f>
        <v/>
      </c>
      <c r="D42" s="57" t="str">
        <f>IF('Attendance Sheet'!D33 = "", "", 'Attendance Sheet'!D33)</f>
        <v/>
      </c>
      <c r="E42" s="61" t="str">
        <f>IF('Attendance Sheet'!E33 = "", "", 'Attendance Sheet'!E33)</f>
        <v/>
      </c>
      <c r="F42" s="19"/>
      <c r="G42" s="34"/>
      <c r="H42" s="68" t="str">
        <f t="shared" si="0"/>
        <v>-</v>
      </c>
      <c r="I42" s="41"/>
      <c r="J42" s="68" t="str">
        <f t="shared" si="1"/>
        <v>-</v>
      </c>
      <c r="K42" s="41"/>
      <c r="L42" s="68" t="str">
        <f t="shared" si="2"/>
        <v>-</v>
      </c>
      <c r="M42" s="41"/>
      <c r="N42" s="68" t="str">
        <f t="shared" si="3"/>
        <v>-</v>
      </c>
      <c r="O42" s="41"/>
      <c r="P42" s="68" t="str">
        <f t="shared" si="4"/>
        <v>-</v>
      </c>
      <c r="Q42" s="41"/>
      <c r="R42" s="68" t="str">
        <f t="shared" si="5"/>
        <v>-</v>
      </c>
      <c r="S42" s="41"/>
      <c r="T42" s="68" t="str">
        <f t="shared" si="6"/>
        <v>-</v>
      </c>
      <c r="U42" s="41"/>
      <c r="V42" s="68" t="str">
        <f t="shared" si="7"/>
        <v>-</v>
      </c>
      <c r="W42" s="41"/>
      <c r="X42" s="68" t="str">
        <f t="shared" si="8"/>
        <v>-</v>
      </c>
      <c r="Y42" s="41"/>
      <c r="Z42" s="69" t="str">
        <f t="shared" si="9"/>
        <v>-</v>
      </c>
      <c r="AA42" s="13"/>
      <c r="AB42" s="85" t="str">
        <f t="shared" si="10"/>
        <v>-</v>
      </c>
      <c r="AC42" s="16"/>
      <c r="AD42" s="36" t="str">
        <f>IF(C42="","-", (VLOOKUP(C42, 'Attendance Sheet'!$C$7:$F$62,4,FALSE)))</f>
        <v>-</v>
      </c>
      <c r="AE42" s="18"/>
      <c r="AF42" s="89" t="str">
        <f>PRELIM!AF42</f>
        <v>-</v>
      </c>
      <c r="AG42" s="89" t="str">
        <f>MIDTERM!AG42</f>
        <v>-</v>
      </c>
      <c r="AH42" s="149" t="str">
        <f>IF(AB42 = "INC",
 "INC",
 IF(
  AB42 = "-",
  "-",
  VLOOKUP(AB42,'Grade Config'!$C$6:$D$37,2)
 )
)</f>
        <v>-</v>
      </c>
      <c r="AI42" s="153" t="str">
        <f t="shared" si="11"/>
        <v>-</v>
      </c>
      <c r="AJ42" s="156"/>
      <c r="AK42" s="14"/>
    </row>
    <row r="43" spans="2:37">
      <c r="B43" s="33">
        <v>27</v>
      </c>
      <c r="C43" s="57" t="str">
        <f>IF('Attendance Sheet'!C34 = "", "", 'Attendance Sheet'!C34)</f>
        <v/>
      </c>
      <c r="D43" s="57" t="str">
        <f>IF('Attendance Sheet'!D34 = "", "", 'Attendance Sheet'!D34)</f>
        <v/>
      </c>
      <c r="E43" s="61" t="str">
        <f>IF('Attendance Sheet'!E34 = "", "", 'Attendance Sheet'!E34)</f>
        <v/>
      </c>
      <c r="F43" s="19"/>
      <c r="G43" s="34"/>
      <c r="H43" s="68" t="str">
        <f t="shared" si="0"/>
        <v>-</v>
      </c>
      <c r="I43" s="41"/>
      <c r="J43" s="68" t="str">
        <f t="shared" si="1"/>
        <v>-</v>
      </c>
      <c r="K43" s="41"/>
      <c r="L43" s="68" t="str">
        <f t="shared" si="2"/>
        <v>-</v>
      </c>
      <c r="M43" s="41"/>
      <c r="N43" s="68" t="str">
        <f t="shared" si="3"/>
        <v>-</v>
      </c>
      <c r="O43" s="41"/>
      <c r="P43" s="68" t="str">
        <f t="shared" si="4"/>
        <v>-</v>
      </c>
      <c r="Q43" s="41"/>
      <c r="R43" s="68" t="str">
        <f t="shared" si="5"/>
        <v>-</v>
      </c>
      <c r="S43" s="41"/>
      <c r="T43" s="68" t="str">
        <f t="shared" si="6"/>
        <v>-</v>
      </c>
      <c r="U43" s="41"/>
      <c r="V43" s="68" t="str">
        <f t="shared" si="7"/>
        <v>-</v>
      </c>
      <c r="W43" s="41"/>
      <c r="X43" s="68" t="str">
        <f t="shared" si="8"/>
        <v>-</v>
      </c>
      <c r="Y43" s="41"/>
      <c r="Z43" s="69" t="str">
        <f t="shared" si="9"/>
        <v>-</v>
      </c>
      <c r="AA43" s="13"/>
      <c r="AB43" s="85" t="str">
        <f t="shared" si="10"/>
        <v>-</v>
      </c>
      <c r="AC43" s="16"/>
      <c r="AD43" s="36" t="str">
        <f>IF(C43="","-", (VLOOKUP(C43, 'Attendance Sheet'!$C$7:$F$62,4,FALSE)))</f>
        <v>-</v>
      </c>
      <c r="AE43" s="18"/>
      <c r="AF43" s="89" t="str">
        <f>PRELIM!AF43</f>
        <v>-</v>
      </c>
      <c r="AG43" s="89" t="str">
        <f>MIDTERM!AG43</f>
        <v>-</v>
      </c>
      <c r="AH43" s="149" t="str">
        <f>IF(AB43 = "INC",
 "INC",
 IF(
  AB43 = "-",
  "-",
  VLOOKUP(AB43,'Grade Config'!$C$6:$D$37,2)
 )
)</f>
        <v>-</v>
      </c>
      <c r="AI43" s="153" t="str">
        <f t="shared" si="11"/>
        <v>-</v>
      </c>
      <c r="AJ43" s="156"/>
      <c r="AK43" s="14"/>
    </row>
    <row r="44" spans="2:37">
      <c r="B44" s="33">
        <v>28</v>
      </c>
      <c r="C44" s="57" t="str">
        <f>IF('Attendance Sheet'!C35 = "", "", 'Attendance Sheet'!C35)</f>
        <v/>
      </c>
      <c r="D44" s="57" t="str">
        <f>IF('Attendance Sheet'!D35 = "", "", 'Attendance Sheet'!D35)</f>
        <v/>
      </c>
      <c r="E44" s="61" t="str">
        <f>IF('Attendance Sheet'!E35 = "", "", 'Attendance Sheet'!E35)</f>
        <v/>
      </c>
      <c r="F44" s="19"/>
      <c r="G44" s="34"/>
      <c r="H44" s="68" t="str">
        <f t="shared" si="0"/>
        <v>-</v>
      </c>
      <c r="I44" s="41"/>
      <c r="J44" s="68" t="str">
        <f t="shared" si="1"/>
        <v>-</v>
      </c>
      <c r="K44" s="41"/>
      <c r="L44" s="68" t="str">
        <f t="shared" si="2"/>
        <v>-</v>
      </c>
      <c r="M44" s="41"/>
      <c r="N44" s="68" t="str">
        <f t="shared" si="3"/>
        <v>-</v>
      </c>
      <c r="O44" s="41"/>
      <c r="P44" s="68" t="str">
        <f t="shared" si="4"/>
        <v>-</v>
      </c>
      <c r="Q44" s="41"/>
      <c r="R44" s="68" t="str">
        <f t="shared" si="5"/>
        <v>-</v>
      </c>
      <c r="S44" s="41"/>
      <c r="T44" s="68" t="str">
        <f t="shared" si="6"/>
        <v>-</v>
      </c>
      <c r="U44" s="41"/>
      <c r="V44" s="68" t="str">
        <f t="shared" si="7"/>
        <v>-</v>
      </c>
      <c r="W44" s="41"/>
      <c r="X44" s="68" t="str">
        <f t="shared" si="8"/>
        <v>-</v>
      </c>
      <c r="Y44" s="41"/>
      <c r="Z44" s="69" t="str">
        <f t="shared" si="9"/>
        <v>-</v>
      </c>
      <c r="AA44" s="13"/>
      <c r="AB44" s="85" t="str">
        <f t="shared" si="10"/>
        <v>-</v>
      </c>
      <c r="AC44" s="16"/>
      <c r="AD44" s="36" t="str">
        <f>IF(C44="","-", (VLOOKUP(C44, 'Attendance Sheet'!$C$7:$F$62,4,FALSE)))</f>
        <v>-</v>
      </c>
      <c r="AE44" s="18"/>
      <c r="AF44" s="89" t="str">
        <f>PRELIM!AF44</f>
        <v>-</v>
      </c>
      <c r="AG44" s="89" t="str">
        <f>MIDTERM!AG44</f>
        <v>-</v>
      </c>
      <c r="AH44" s="149" t="str">
        <f>IF(AB44 = "INC",
 "INC",
 IF(
  AB44 = "-",
  "-",
  VLOOKUP(AB44,'Grade Config'!$C$6:$D$37,2)
 )
)</f>
        <v>-</v>
      </c>
      <c r="AI44" s="153" t="str">
        <f t="shared" si="11"/>
        <v>-</v>
      </c>
      <c r="AJ44" s="156"/>
      <c r="AK44" s="14"/>
    </row>
    <row r="45" spans="2:37">
      <c r="B45" s="33">
        <v>29</v>
      </c>
      <c r="C45" s="57" t="str">
        <f>IF('Attendance Sheet'!C36 = "", "", 'Attendance Sheet'!C36)</f>
        <v/>
      </c>
      <c r="D45" s="57" t="str">
        <f>IF('Attendance Sheet'!D36 = "", "", 'Attendance Sheet'!D36)</f>
        <v/>
      </c>
      <c r="E45" s="61" t="str">
        <f>IF('Attendance Sheet'!E36 = "", "", 'Attendance Sheet'!E36)</f>
        <v/>
      </c>
      <c r="F45" s="19"/>
      <c r="G45" s="34"/>
      <c r="H45" s="68" t="str">
        <f t="shared" si="0"/>
        <v>-</v>
      </c>
      <c r="I45" s="41"/>
      <c r="J45" s="68" t="str">
        <f t="shared" si="1"/>
        <v>-</v>
      </c>
      <c r="K45" s="41"/>
      <c r="L45" s="68" t="str">
        <f t="shared" si="2"/>
        <v>-</v>
      </c>
      <c r="M45" s="41"/>
      <c r="N45" s="68" t="str">
        <f t="shared" si="3"/>
        <v>-</v>
      </c>
      <c r="O45" s="41"/>
      <c r="P45" s="68" t="str">
        <f t="shared" si="4"/>
        <v>-</v>
      </c>
      <c r="Q45" s="41"/>
      <c r="R45" s="68" t="str">
        <f t="shared" si="5"/>
        <v>-</v>
      </c>
      <c r="S45" s="41"/>
      <c r="T45" s="68" t="str">
        <f t="shared" si="6"/>
        <v>-</v>
      </c>
      <c r="U45" s="41"/>
      <c r="V45" s="68" t="str">
        <f t="shared" si="7"/>
        <v>-</v>
      </c>
      <c r="W45" s="41"/>
      <c r="X45" s="68" t="str">
        <f t="shared" si="8"/>
        <v>-</v>
      </c>
      <c r="Y45" s="41"/>
      <c r="Z45" s="69" t="str">
        <f t="shared" si="9"/>
        <v>-</v>
      </c>
      <c r="AA45" s="13"/>
      <c r="AB45" s="85" t="str">
        <f t="shared" si="10"/>
        <v>-</v>
      </c>
      <c r="AC45" s="16"/>
      <c r="AD45" s="36" t="str">
        <f>IF(C45="","-", (VLOOKUP(C45, 'Attendance Sheet'!$C$7:$F$62,4,FALSE)))</f>
        <v>-</v>
      </c>
      <c r="AE45" s="18"/>
      <c r="AF45" s="89" t="str">
        <f>PRELIM!AF45</f>
        <v>-</v>
      </c>
      <c r="AG45" s="89" t="str">
        <f>MIDTERM!AG45</f>
        <v>-</v>
      </c>
      <c r="AH45" s="149" t="str">
        <f>IF(AB45 = "INC",
 "INC",
 IF(
  AB45 = "-",
  "-",
  VLOOKUP(AB45,'Grade Config'!$C$6:$D$37,2)
 )
)</f>
        <v>-</v>
      </c>
      <c r="AI45" s="153" t="str">
        <f t="shared" si="11"/>
        <v>-</v>
      </c>
      <c r="AJ45" s="156"/>
      <c r="AK45" s="14"/>
    </row>
    <row r="46" spans="2:37">
      <c r="B46" s="33">
        <v>30</v>
      </c>
      <c r="C46" s="57" t="str">
        <f>IF('Attendance Sheet'!C37 = "", "", 'Attendance Sheet'!C37)</f>
        <v/>
      </c>
      <c r="D46" s="57" t="str">
        <f>IF('Attendance Sheet'!D37 = "", "", 'Attendance Sheet'!D37)</f>
        <v/>
      </c>
      <c r="E46" s="61" t="str">
        <f>IF('Attendance Sheet'!E37 = "", "", 'Attendance Sheet'!E37)</f>
        <v/>
      </c>
      <c r="F46" s="19"/>
      <c r="G46" s="34"/>
      <c r="H46" s="68" t="str">
        <f t="shared" si="0"/>
        <v>-</v>
      </c>
      <c r="I46" s="41"/>
      <c r="J46" s="68" t="str">
        <f t="shared" si="1"/>
        <v>-</v>
      </c>
      <c r="K46" s="41"/>
      <c r="L46" s="68" t="str">
        <f t="shared" si="2"/>
        <v>-</v>
      </c>
      <c r="M46" s="41"/>
      <c r="N46" s="68" t="str">
        <f t="shared" si="3"/>
        <v>-</v>
      </c>
      <c r="O46" s="41"/>
      <c r="P46" s="68" t="str">
        <f t="shared" si="4"/>
        <v>-</v>
      </c>
      <c r="Q46" s="41"/>
      <c r="R46" s="68" t="str">
        <f t="shared" si="5"/>
        <v>-</v>
      </c>
      <c r="S46" s="41"/>
      <c r="T46" s="68" t="str">
        <f t="shared" si="6"/>
        <v>-</v>
      </c>
      <c r="U46" s="41"/>
      <c r="V46" s="68" t="str">
        <f t="shared" si="7"/>
        <v>-</v>
      </c>
      <c r="W46" s="41"/>
      <c r="X46" s="68" t="str">
        <f t="shared" si="8"/>
        <v>-</v>
      </c>
      <c r="Y46" s="41"/>
      <c r="Z46" s="69" t="str">
        <f t="shared" si="9"/>
        <v>-</v>
      </c>
      <c r="AA46" s="13"/>
      <c r="AB46" s="85" t="str">
        <f t="shared" si="10"/>
        <v>-</v>
      </c>
      <c r="AC46" s="16"/>
      <c r="AD46" s="36" t="str">
        <f>IF(C46="","-", (VLOOKUP(C46, 'Attendance Sheet'!$C$7:$F$62,4,FALSE)))</f>
        <v>-</v>
      </c>
      <c r="AE46" s="18"/>
      <c r="AF46" s="89" t="str">
        <f>PRELIM!AF46</f>
        <v>-</v>
      </c>
      <c r="AG46" s="89" t="str">
        <f>MIDTERM!AG46</f>
        <v>-</v>
      </c>
      <c r="AH46" s="149" t="str">
        <f>IF(AB46 = "INC",
 "INC",
 IF(
  AB46 = "-",
  "-",
  VLOOKUP(AB46,'Grade Config'!$C$6:$D$37,2)
 )
)</f>
        <v>-</v>
      </c>
      <c r="AI46" s="153" t="str">
        <f t="shared" si="11"/>
        <v>-</v>
      </c>
      <c r="AJ46" s="156"/>
      <c r="AK46" s="14"/>
    </row>
    <row r="47" spans="2:37">
      <c r="B47" s="33">
        <v>31</v>
      </c>
      <c r="C47" s="57" t="str">
        <f>IF('Attendance Sheet'!C38 = "", "", 'Attendance Sheet'!C38)</f>
        <v/>
      </c>
      <c r="D47" s="57" t="str">
        <f>IF('Attendance Sheet'!D38 = "", "", 'Attendance Sheet'!D38)</f>
        <v/>
      </c>
      <c r="E47" s="61" t="str">
        <f>IF('Attendance Sheet'!E38 = "", "", 'Attendance Sheet'!E38)</f>
        <v/>
      </c>
      <c r="F47" s="19"/>
      <c r="G47" s="34"/>
      <c r="H47" s="68" t="str">
        <f t="shared" si="0"/>
        <v>-</v>
      </c>
      <c r="I47" s="41"/>
      <c r="J47" s="68" t="str">
        <f t="shared" si="1"/>
        <v>-</v>
      </c>
      <c r="K47" s="41"/>
      <c r="L47" s="68" t="str">
        <f t="shared" si="2"/>
        <v>-</v>
      </c>
      <c r="M47" s="41"/>
      <c r="N47" s="68" t="str">
        <f t="shared" si="3"/>
        <v>-</v>
      </c>
      <c r="O47" s="41"/>
      <c r="P47" s="68" t="str">
        <f t="shared" si="4"/>
        <v>-</v>
      </c>
      <c r="Q47" s="41"/>
      <c r="R47" s="68" t="str">
        <f t="shared" si="5"/>
        <v>-</v>
      </c>
      <c r="S47" s="41"/>
      <c r="T47" s="68" t="str">
        <f t="shared" si="6"/>
        <v>-</v>
      </c>
      <c r="U47" s="41"/>
      <c r="V47" s="68" t="str">
        <f t="shared" si="7"/>
        <v>-</v>
      </c>
      <c r="W47" s="41"/>
      <c r="X47" s="68" t="str">
        <f t="shared" si="8"/>
        <v>-</v>
      </c>
      <c r="Y47" s="41"/>
      <c r="Z47" s="69" t="str">
        <f t="shared" si="9"/>
        <v>-</v>
      </c>
      <c r="AA47" s="13"/>
      <c r="AB47" s="85" t="str">
        <f t="shared" si="10"/>
        <v>-</v>
      </c>
      <c r="AC47" s="16"/>
      <c r="AD47" s="36" t="str">
        <f>IF(C47="","-", (VLOOKUP(C47, 'Attendance Sheet'!$C$7:$F$62,4,FALSE)))</f>
        <v>-</v>
      </c>
      <c r="AE47" s="18"/>
      <c r="AF47" s="89" t="str">
        <f>PRELIM!AF47</f>
        <v>-</v>
      </c>
      <c r="AG47" s="89" t="str">
        <f>MIDTERM!AG47</f>
        <v>-</v>
      </c>
      <c r="AH47" s="149" t="str">
        <f>IF(AB47 = "INC",
 "INC",
 IF(
  AB47 = "-",
  "-",
  VLOOKUP(AB47,'Grade Config'!$C$6:$D$37,2)
 )
)</f>
        <v>-</v>
      </c>
      <c r="AI47" s="153" t="str">
        <f t="shared" si="11"/>
        <v>-</v>
      </c>
      <c r="AJ47" s="156"/>
      <c r="AK47" s="14"/>
    </row>
    <row r="48" spans="2:37">
      <c r="B48" s="33">
        <v>32</v>
      </c>
      <c r="C48" s="57" t="str">
        <f>IF('Attendance Sheet'!C39 = "", "", 'Attendance Sheet'!C39)</f>
        <v/>
      </c>
      <c r="D48" s="57" t="str">
        <f>IF('Attendance Sheet'!D39 = "", "", 'Attendance Sheet'!D39)</f>
        <v/>
      </c>
      <c r="E48" s="61" t="str">
        <f>IF('Attendance Sheet'!E39 = "", "", 'Attendance Sheet'!E39)</f>
        <v/>
      </c>
      <c r="F48" s="19"/>
      <c r="G48" s="34"/>
      <c r="H48" s="68" t="str">
        <f t="shared" si="0"/>
        <v>-</v>
      </c>
      <c r="I48" s="41"/>
      <c r="J48" s="68" t="str">
        <f t="shared" si="1"/>
        <v>-</v>
      </c>
      <c r="K48" s="41"/>
      <c r="L48" s="68" t="str">
        <f t="shared" si="2"/>
        <v>-</v>
      </c>
      <c r="M48" s="41"/>
      <c r="N48" s="68" t="str">
        <f t="shared" si="3"/>
        <v>-</v>
      </c>
      <c r="O48" s="41"/>
      <c r="P48" s="68" t="str">
        <f t="shared" si="4"/>
        <v>-</v>
      </c>
      <c r="Q48" s="41"/>
      <c r="R48" s="68" t="str">
        <f t="shared" si="5"/>
        <v>-</v>
      </c>
      <c r="S48" s="41"/>
      <c r="T48" s="68" t="str">
        <f t="shared" si="6"/>
        <v>-</v>
      </c>
      <c r="U48" s="41"/>
      <c r="V48" s="68" t="str">
        <f t="shared" si="7"/>
        <v>-</v>
      </c>
      <c r="W48" s="41"/>
      <c r="X48" s="68" t="str">
        <f t="shared" si="8"/>
        <v>-</v>
      </c>
      <c r="Y48" s="41"/>
      <c r="Z48" s="69" t="str">
        <f t="shared" si="9"/>
        <v>-</v>
      </c>
      <c r="AA48" s="13"/>
      <c r="AB48" s="85" t="str">
        <f t="shared" si="10"/>
        <v>-</v>
      </c>
      <c r="AC48" s="16"/>
      <c r="AD48" s="36" t="str">
        <f>IF(C48="","-", (VLOOKUP(C48, 'Attendance Sheet'!$C$7:$F$62,4,FALSE)))</f>
        <v>-</v>
      </c>
      <c r="AE48" s="18"/>
      <c r="AF48" s="89" t="str">
        <f>PRELIM!AF48</f>
        <v>-</v>
      </c>
      <c r="AG48" s="89" t="str">
        <f>MIDTERM!AG48</f>
        <v>-</v>
      </c>
      <c r="AH48" s="149" t="str">
        <f>IF(AB48 = "INC",
 "INC",
 IF(
  AB48 = "-",
  "-",
  VLOOKUP(AB48,'Grade Config'!$C$6:$D$37,2)
 )
)</f>
        <v>-</v>
      </c>
      <c r="AI48" s="153" t="str">
        <f t="shared" si="11"/>
        <v>-</v>
      </c>
      <c r="AJ48" s="156"/>
      <c r="AK48" s="14"/>
    </row>
    <row r="49" spans="2:37">
      <c r="B49" s="33">
        <v>33</v>
      </c>
      <c r="C49" s="57" t="str">
        <f>IF('Attendance Sheet'!C40 = "", "", 'Attendance Sheet'!C40)</f>
        <v/>
      </c>
      <c r="D49" s="57" t="str">
        <f>IF('Attendance Sheet'!D40 = "", "", 'Attendance Sheet'!D40)</f>
        <v/>
      </c>
      <c r="E49" s="61" t="str">
        <f>IF('Attendance Sheet'!E40 = "", "", 'Attendance Sheet'!E40)</f>
        <v/>
      </c>
      <c r="F49" s="19"/>
      <c r="G49" s="34"/>
      <c r="H49" s="68" t="str">
        <f t="shared" si="0"/>
        <v>-</v>
      </c>
      <c r="I49" s="41"/>
      <c r="J49" s="68" t="str">
        <f t="shared" si="1"/>
        <v>-</v>
      </c>
      <c r="K49" s="41"/>
      <c r="L49" s="68" t="str">
        <f t="shared" si="2"/>
        <v>-</v>
      </c>
      <c r="M49" s="41"/>
      <c r="N49" s="68" t="str">
        <f t="shared" si="3"/>
        <v>-</v>
      </c>
      <c r="O49" s="41"/>
      <c r="P49" s="68" t="str">
        <f t="shared" si="4"/>
        <v>-</v>
      </c>
      <c r="Q49" s="41"/>
      <c r="R49" s="68" t="str">
        <f t="shared" si="5"/>
        <v>-</v>
      </c>
      <c r="S49" s="41"/>
      <c r="T49" s="68" t="str">
        <f t="shared" si="6"/>
        <v>-</v>
      </c>
      <c r="U49" s="41"/>
      <c r="V49" s="68" t="str">
        <f t="shared" si="7"/>
        <v>-</v>
      </c>
      <c r="W49" s="41"/>
      <c r="X49" s="68" t="str">
        <f t="shared" si="8"/>
        <v>-</v>
      </c>
      <c r="Y49" s="41"/>
      <c r="Z49" s="69" t="str">
        <f t="shared" si="9"/>
        <v>-</v>
      </c>
      <c r="AA49" s="13"/>
      <c r="AB49" s="85" t="str">
        <f t="shared" si="10"/>
        <v>-</v>
      </c>
      <c r="AC49" s="16"/>
      <c r="AD49" s="36" t="str">
        <f>IF(C49="","-", (VLOOKUP(C49, 'Attendance Sheet'!$C$7:$F$62,4,FALSE)))</f>
        <v>-</v>
      </c>
      <c r="AE49" s="18"/>
      <c r="AF49" s="89" t="str">
        <f>PRELIM!AF49</f>
        <v>-</v>
      </c>
      <c r="AG49" s="89" t="str">
        <f>MIDTERM!AG49</f>
        <v>-</v>
      </c>
      <c r="AH49" s="149" t="str">
        <f>IF(AB49 = "INC",
 "INC",
 IF(
  AB49 = "-",
  "-",
  VLOOKUP(AB49,'Grade Config'!$C$6:$D$37,2)
 )
)</f>
        <v>-</v>
      </c>
      <c r="AI49" s="153" t="str">
        <f t="shared" si="11"/>
        <v>-</v>
      </c>
      <c r="AJ49" s="156"/>
      <c r="AK49" s="14"/>
    </row>
    <row r="50" spans="2:37">
      <c r="B50" s="33">
        <v>34</v>
      </c>
      <c r="C50" s="57" t="str">
        <f>IF('Attendance Sheet'!C41 = "", "", 'Attendance Sheet'!C41)</f>
        <v/>
      </c>
      <c r="D50" s="57" t="str">
        <f>IF('Attendance Sheet'!D41 = "", "", 'Attendance Sheet'!D41)</f>
        <v/>
      </c>
      <c r="E50" s="61" t="str">
        <f>IF('Attendance Sheet'!E41 = "", "", 'Attendance Sheet'!E41)</f>
        <v/>
      </c>
      <c r="F50" s="19"/>
      <c r="G50" s="34"/>
      <c r="H50" s="68" t="str">
        <f t="shared" si="0"/>
        <v>-</v>
      </c>
      <c r="I50" s="41"/>
      <c r="J50" s="68" t="str">
        <f t="shared" si="1"/>
        <v>-</v>
      </c>
      <c r="K50" s="41"/>
      <c r="L50" s="68" t="str">
        <f t="shared" si="2"/>
        <v>-</v>
      </c>
      <c r="M50" s="41"/>
      <c r="N50" s="68" t="str">
        <f t="shared" si="3"/>
        <v>-</v>
      </c>
      <c r="O50" s="41"/>
      <c r="P50" s="68" t="str">
        <f t="shared" si="4"/>
        <v>-</v>
      </c>
      <c r="Q50" s="41"/>
      <c r="R50" s="68" t="str">
        <f t="shared" si="5"/>
        <v>-</v>
      </c>
      <c r="S50" s="41"/>
      <c r="T50" s="68" t="str">
        <f t="shared" si="6"/>
        <v>-</v>
      </c>
      <c r="U50" s="41"/>
      <c r="V50" s="68" t="str">
        <f t="shared" si="7"/>
        <v>-</v>
      </c>
      <c r="W50" s="41"/>
      <c r="X50" s="68" t="str">
        <f t="shared" si="8"/>
        <v>-</v>
      </c>
      <c r="Y50" s="41"/>
      <c r="Z50" s="69" t="str">
        <f t="shared" si="9"/>
        <v>-</v>
      </c>
      <c r="AA50" s="13"/>
      <c r="AB50" s="85" t="str">
        <f t="shared" si="10"/>
        <v>-</v>
      </c>
      <c r="AC50" s="16"/>
      <c r="AD50" s="36" t="str">
        <f>IF(C50="","-", (VLOOKUP(C50, 'Attendance Sheet'!$C$7:$F$62,4,FALSE)))</f>
        <v>-</v>
      </c>
      <c r="AE50" s="18"/>
      <c r="AF50" s="89" t="str">
        <f>PRELIM!AF50</f>
        <v>-</v>
      </c>
      <c r="AG50" s="89" t="str">
        <f>MIDTERM!AG50</f>
        <v>-</v>
      </c>
      <c r="AH50" s="149" t="str">
        <f>IF(AB50 = "INC",
 "INC",
 IF(
  AB50 = "-",
  "-",
  VLOOKUP(AB50,'Grade Config'!$C$6:$D$37,2)
 )
)</f>
        <v>-</v>
      </c>
      <c r="AI50" s="153" t="str">
        <f t="shared" si="11"/>
        <v>-</v>
      </c>
      <c r="AJ50" s="156"/>
      <c r="AK50" s="14"/>
    </row>
    <row r="51" spans="2:37">
      <c r="B51" s="33">
        <v>35</v>
      </c>
      <c r="C51" s="57" t="str">
        <f>IF('Attendance Sheet'!C42 = "", "", 'Attendance Sheet'!C42)</f>
        <v/>
      </c>
      <c r="D51" s="57" t="str">
        <f>IF('Attendance Sheet'!D42 = "", "", 'Attendance Sheet'!D42)</f>
        <v/>
      </c>
      <c r="E51" s="61" t="str">
        <f>IF('Attendance Sheet'!E42 = "", "", 'Attendance Sheet'!E42)</f>
        <v/>
      </c>
      <c r="F51" s="19"/>
      <c r="G51" s="34"/>
      <c r="H51" s="68" t="str">
        <f t="shared" si="0"/>
        <v>-</v>
      </c>
      <c r="I51" s="41"/>
      <c r="J51" s="68" t="str">
        <f t="shared" si="1"/>
        <v>-</v>
      </c>
      <c r="K51" s="41"/>
      <c r="L51" s="68" t="str">
        <f t="shared" si="2"/>
        <v>-</v>
      </c>
      <c r="M51" s="41"/>
      <c r="N51" s="68" t="str">
        <f t="shared" si="3"/>
        <v>-</v>
      </c>
      <c r="O51" s="41"/>
      <c r="P51" s="68" t="str">
        <f t="shared" si="4"/>
        <v>-</v>
      </c>
      <c r="Q51" s="41"/>
      <c r="R51" s="68" t="str">
        <f t="shared" si="5"/>
        <v>-</v>
      </c>
      <c r="S51" s="41"/>
      <c r="T51" s="68" t="str">
        <f t="shared" si="6"/>
        <v>-</v>
      </c>
      <c r="U51" s="41"/>
      <c r="V51" s="68" t="str">
        <f t="shared" si="7"/>
        <v>-</v>
      </c>
      <c r="W51" s="41"/>
      <c r="X51" s="68" t="str">
        <f t="shared" si="8"/>
        <v>-</v>
      </c>
      <c r="Y51" s="41"/>
      <c r="Z51" s="69" t="str">
        <f t="shared" si="9"/>
        <v>-</v>
      </c>
      <c r="AA51" s="13"/>
      <c r="AB51" s="85" t="str">
        <f t="shared" si="10"/>
        <v>-</v>
      </c>
      <c r="AC51" s="16"/>
      <c r="AD51" s="36" t="str">
        <f>IF(C51="","-", (VLOOKUP(C51, 'Attendance Sheet'!$C$7:$F$62,4,FALSE)))</f>
        <v>-</v>
      </c>
      <c r="AE51" s="18"/>
      <c r="AF51" s="89" t="str">
        <f>PRELIM!AF51</f>
        <v>-</v>
      </c>
      <c r="AG51" s="89" t="str">
        <f>MIDTERM!AG51</f>
        <v>-</v>
      </c>
      <c r="AH51" s="149" t="str">
        <f>IF(AB51 = "INC",
 "INC",
 IF(
  AB51 = "-",
  "-",
  VLOOKUP(AB51,'Grade Config'!$C$6:$D$37,2)
 )
)</f>
        <v>-</v>
      </c>
      <c r="AI51" s="153" t="str">
        <f t="shared" si="11"/>
        <v>-</v>
      </c>
      <c r="AJ51" s="156"/>
      <c r="AK51" s="14"/>
    </row>
    <row r="52" spans="2:37">
      <c r="B52" s="33">
        <v>36</v>
      </c>
      <c r="C52" s="57" t="str">
        <f>IF('Attendance Sheet'!C43 = "", "", 'Attendance Sheet'!C43)</f>
        <v/>
      </c>
      <c r="D52" s="57" t="str">
        <f>IF('Attendance Sheet'!D43 = "", "", 'Attendance Sheet'!D43)</f>
        <v/>
      </c>
      <c r="E52" s="61" t="str">
        <f>IF('Attendance Sheet'!E43 = "", "", 'Attendance Sheet'!E43)</f>
        <v/>
      </c>
      <c r="F52" s="19"/>
      <c r="G52" s="34"/>
      <c r="H52" s="68" t="str">
        <f t="shared" si="0"/>
        <v>-</v>
      </c>
      <c r="I52" s="41"/>
      <c r="J52" s="68" t="str">
        <f t="shared" si="1"/>
        <v>-</v>
      </c>
      <c r="K52" s="41"/>
      <c r="L52" s="68" t="str">
        <f t="shared" si="2"/>
        <v>-</v>
      </c>
      <c r="M52" s="41"/>
      <c r="N52" s="68" t="str">
        <f t="shared" si="3"/>
        <v>-</v>
      </c>
      <c r="O52" s="41"/>
      <c r="P52" s="68" t="str">
        <f t="shared" si="4"/>
        <v>-</v>
      </c>
      <c r="Q52" s="41"/>
      <c r="R52" s="68" t="str">
        <f t="shared" si="5"/>
        <v>-</v>
      </c>
      <c r="S52" s="41"/>
      <c r="T52" s="68" t="str">
        <f t="shared" si="6"/>
        <v>-</v>
      </c>
      <c r="U52" s="41"/>
      <c r="V52" s="68" t="str">
        <f t="shared" si="7"/>
        <v>-</v>
      </c>
      <c r="W52" s="41"/>
      <c r="X52" s="68" t="str">
        <f t="shared" si="8"/>
        <v>-</v>
      </c>
      <c r="Y52" s="41"/>
      <c r="Z52" s="69" t="str">
        <f t="shared" si="9"/>
        <v>-</v>
      </c>
      <c r="AA52" s="13"/>
      <c r="AB52" s="85" t="str">
        <f t="shared" si="10"/>
        <v>-</v>
      </c>
      <c r="AC52" s="16"/>
      <c r="AD52" s="36" t="str">
        <f>IF(C52="","-", (VLOOKUP(C52, 'Attendance Sheet'!$C$7:$F$62,4,FALSE)))</f>
        <v>-</v>
      </c>
      <c r="AE52" s="18"/>
      <c r="AF52" s="89" t="str">
        <f>PRELIM!AF52</f>
        <v>-</v>
      </c>
      <c r="AG52" s="89" t="str">
        <f>MIDTERM!AG52</f>
        <v>-</v>
      </c>
      <c r="AH52" s="149" t="str">
        <f>IF(AB52 = "INC",
 "INC",
 IF(
  AB52 = "-",
  "-",
  VLOOKUP(AB52,'Grade Config'!$C$6:$D$37,2)
 )
)</f>
        <v>-</v>
      </c>
      <c r="AI52" s="153" t="str">
        <f t="shared" si="11"/>
        <v>-</v>
      </c>
      <c r="AJ52" s="156"/>
      <c r="AK52" s="14"/>
    </row>
    <row r="53" spans="2:37">
      <c r="B53" s="33">
        <v>37</v>
      </c>
      <c r="C53" s="57" t="str">
        <f>IF('Attendance Sheet'!C44 = "", "", 'Attendance Sheet'!C44)</f>
        <v/>
      </c>
      <c r="D53" s="57" t="str">
        <f>IF('Attendance Sheet'!D44 = "", "", 'Attendance Sheet'!D44)</f>
        <v/>
      </c>
      <c r="E53" s="61" t="str">
        <f>IF('Attendance Sheet'!E44 = "", "", 'Attendance Sheet'!E44)</f>
        <v/>
      </c>
      <c r="F53" s="19"/>
      <c r="G53" s="34"/>
      <c r="H53" s="68" t="str">
        <f t="shared" si="0"/>
        <v>-</v>
      </c>
      <c r="I53" s="41"/>
      <c r="J53" s="68" t="str">
        <f t="shared" si="1"/>
        <v>-</v>
      </c>
      <c r="K53" s="41"/>
      <c r="L53" s="68" t="str">
        <f t="shared" si="2"/>
        <v>-</v>
      </c>
      <c r="M53" s="41"/>
      <c r="N53" s="68" t="str">
        <f t="shared" si="3"/>
        <v>-</v>
      </c>
      <c r="O53" s="41"/>
      <c r="P53" s="68" t="str">
        <f t="shared" si="4"/>
        <v>-</v>
      </c>
      <c r="Q53" s="41"/>
      <c r="R53" s="68" t="str">
        <f t="shared" si="5"/>
        <v>-</v>
      </c>
      <c r="S53" s="41"/>
      <c r="T53" s="68" t="str">
        <f t="shared" si="6"/>
        <v>-</v>
      </c>
      <c r="U53" s="41"/>
      <c r="V53" s="68" t="str">
        <f t="shared" si="7"/>
        <v>-</v>
      </c>
      <c r="W53" s="41"/>
      <c r="X53" s="68" t="str">
        <f t="shared" si="8"/>
        <v>-</v>
      </c>
      <c r="Y53" s="41"/>
      <c r="Z53" s="69" t="str">
        <f t="shared" si="9"/>
        <v>-</v>
      </c>
      <c r="AA53" s="13"/>
      <c r="AB53" s="85" t="str">
        <f t="shared" si="10"/>
        <v>-</v>
      </c>
      <c r="AC53" s="16"/>
      <c r="AD53" s="36" t="str">
        <f>IF(C53="","-", (VLOOKUP(C53, 'Attendance Sheet'!$C$7:$F$62,4,FALSE)))</f>
        <v>-</v>
      </c>
      <c r="AE53" s="18"/>
      <c r="AF53" s="89" t="str">
        <f>PRELIM!AF53</f>
        <v>-</v>
      </c>
      <c r="AG53" s="89" t="str">
        <f>MIDTERM!AG53</f>
        <v>-</v>
      </c>
      <c r="AH53" s="149" t="str">
        <f>IF(AB53 = "INC",
 "INC",
 IF(
  AB53 = "-",
  "-",
  VLOOKUP(AB53,'Grade Config'!$C$6:$D$37,2)
 )
)</f>
        <v>-</v>
      </c>
      <c r="AI53" s="153" t="str">
        <f t="shared" si="11"/>
        <v>-</v>
      </c>
      <c r="AJ53" s="156"/>
      <c r="AK53" s="14"/>
    </row>
    <row r="54" spans="2:37">
      <c r="B54" s="33">
        <v>38</v>
      </c>
      <c r="C54" s="57" t="str">
        <f>IF('Attendance Sheet'!C45 = "", "", 'Attendance Sheet'!C45)</f>
        <v/>
      </c>
      <c r="D54" s="57" t="str">
        <f>IF('Attendance Sheet'!D45 = "", "", 'Attendance Sheet'!D45)</f>
        <v/>
      </c>
      <c r="E54" s="61" t="str">
        <f>IF('Attendance Sheet'!E45 = "", "", 'Attendance Sheet'!E45)</f>
        <v/>
      </c>
      <c r="F54" s="19"/>
      <c r="G54" s="34"/>
      <c r="H54" s="68" t="str">
        <f t="shared" si="0"/>
        <v>-</v>
      </c>
      <c r="I54" s="41"/>
      <c r="J54" s="68" t="str">
        <f t="shared" si="1"/>
        <v>-</v>
      </c>
      <c r="K54" s="41"/>
      <c r="L54" s="68" t="str">
        <f t="shared" si="2"/>
        <v>-</v>
      </c>
      <c r="M54" s="41"/>
      <c r="N54" s="68" t="str">
        <f t="shared" si="3"/>
        <v>-</v>
      </c>
      <c r="O54" s="41"/>
      <c r="P54" s="68" t="str">
        <f t="shared" si="4"/>
        <v>-</v>
      </c>
      <c r="Q54" s="41"/>
      <c r="R54" s="68" t="str">
        <f t="shared" si="5"/>
        <v>-</v>
      </c>
      <c r="S54" s="41"/>
      <c r="T54" s="68" t="str">
        <f t="shared" si="6"/>
        <v>-</v>
      </c>
      <c r="U54" s="41"/>
      <c r="V54" s="68" t="str">
        <f t="shared" si="7"/>
        <v>-</v>
      </c>
      <c r="W54" s="41"/>
      <c r="X54" s="68" t="str">
        <f t="shared" si="8"/>
        <v>-</v>
      </c>
      <c r="Y54" s="41"/>
      <c r="Z54" s="69" t="str">
        <f t="shared" si="9"/>
        <v>-</v>
      </c>
      <c r="AA54" s="13"/>
      <c r="AB54" s="85" t="str">
        <f t="shared" si="10"/>
        <v>-</v>
      </c>
      <c r="AC54" s="16"/>
      <c r="AD54" s="36" t="str">
        <f>IF(C54="","-", (VLOOKUP(C54, 'Attendance Sheet'!$C$7:$F$62,4,FALSE)))</f>
        <v>-</v>
      </c>
      <c r="AE54" s="18"/>
      <c r="AF54" s="89" t="str">
        <f>PRELIM!AF54</f>
        <v>-</v>
      </c>
      <c r="AG54" s="89" t="str">
        <f>MIDTERM!AG54</f>
        <v>-</v>
      </c>
      <c r="AH54" s="149" t="str">
        <f>IF(AB54 = "INC",
 "INC",
 IF(
  AB54 = "-",
  "-",
  VLOOKUP(AB54,'Grade Config'!$C$6:$D$37,2)
 )
)</f>
        <v>-</v>
      </c>
      <c r="AI54" s="153" t="str">
        <f t="shared" si="11"/>
        <v>-</v>
      </c>
      <c r="AJ54" s="156"/>
      <c r="AK54" s="14"/>
    </row>
    <row r="55" spans="2:37">
      <c r="B55" s="33">
        <v>39</v>
      </c>
      <c r="C55" s="57" t="str">
        <f>IF('Attendance Sheet'!C46 = "", "", 'Attendance Sheet'!C46)</f>
        <v/>
      </c>
      <c r="D55" s="57" t="str">
        <f>IF('Attendance Sheet'!D46 = "", "", 'Attendance Sheet'!D46)</f>
        <v/>
      </c>
      <c r="E55" s="61" t="str">
        <f>IF('Attendance Sheet'!E46 = "", "", 'Attendance Sheet'!E46)</f>
        <v/>
      </c>
      <c r="F55" s="19"/>
      <c r="G55" s="34"/>
      <c r="H55" s="68" t="str">
        <f t="shared" si="0"/>
        <v>-</v>
      </c>
      <c r="I55" s="41"/>
      <c r="J55" s="68" t="str">
        <f t="shared" si="1"/>
        <v>-</v>
      </c>
      <c r="K55" s="41"/>
      <c r="L55" s="68" t="str">
        <f t="shared" si="2"/>
        <v>-</v>
      </c>
      <c r="M55" s="41"/>
      <c r="N55" s="68" t="str">
        <f t="shared" si="3"/>
        <v>-</v>
      </c>
      <c r="O55" s="41"/>
      <c r="P55" s="68" t="str">
        <f t="shared" si="4"/>
        <v>-</v>
      </c>
      <c r="Q55" s="41"/>
      <c r="R55" s="68" t="str">
        <f t="shared" si="5"/>
        <v>-</v>
      </c>
      <c r="S55" s="41"/>
      <c r="T55" s="68" t="str">
        <f t="shared" si="6"/>
        <v>-</v>
      </c>
      <c r="U55" s="41"/>
      <c r="V55" s="68" t="str">
        <f t="shared" si="7"/>
        <v>-</v>
      </c>
      <c r="W55" s="41"/>
      <c r="X55" s="68" t="str">
        <f t="shared" si="8"/>
        <v>-</v>
      </c>
      <c r="Y55" s="41"/>
      <c r="Z55" s="69" t="str">
        <f t="shared" si="9"/>
        <v>-</v>
      </c>
      <c r="AA55" s="13"/>
      <c r="AB55" s="85" t="str">
        <f t="shared" si="10"/>
        <v>-</v>
      </c>
      <c r="AC55" s="16"/>
      <c r="AD55" s="36" t="str">
        <f>IF(C55="","-", (VLOOKUP(C55, 'Attendance Sheet'!$C$7:$F$62,4,FALSE)))</f>
        <v>-</v>
      </c>
      <c r="AE55" s="18"/>
      <c r="AF55" s="89" t="str">
        <f>PRELIM!AF55</f>
        <v>-</v>
      </c>
      <c r="AG55" s="89" t="str">
        <f>MIDTERM!AG55</f>
        <v>-</v>
      </c>
      <c r="AH55" s="149" t="str">
        <f>IF(AB55 = "INC",
 "INC",
 IF(
  AB55 = "-",
  "-",
  VLOOKUP(AB55,'Grade Config'!$C$6:$D$37,2)
 )
)</f>
        <v>-</v>
      </c>
      <c r="AI55" s="153" t="str">
        <f t="shared" si="11"/>
        <v>-</v>
      </c>
      <c r="AJ55" s="156"/>
      <c r="AK55" s="14"/>
    </row>
    <row r="56" spans="2:37">
      <c r="B56" s="33">
        <v>40</v>
      </c>
      <c r="C56" s="57" t="str">
        <f>IF('Attendance Sheet'!C47 = "", "", 'Attendance Sheet'!C47)</f>
        <v/>
      </c>
      <c r="D56" s="57" t="str">
        <f>IF('Attendance Sheet'!D47 = "", "", 'Attendance Sheet'!D47)</f>
        <v/>
      </c>
      <c r="E56" s="61" t="str">
        <f>IF('Attendance Sheet'!E47 = "", "", 'Attendance Sheet'!E47)</f>
        <v/>
      </c>
      <c r="F56" s="19"/>
      <c r="G56" s="34"/>
      <c r="H56" s="68" t="str">
        <f t="shared" si="0"/>
        <v>-</v>
      </c>
      <c r="I56" s="41"/>
      <c r="J56" s="68" t="str">
        <f t="shared" si="1"/>
        <v>-</v>
      </c>
      <c r="K56" s="41"/>
      <c r="L56" s="68" t="str">
        <f t="shared" si="2"/>
        <v>-</v>
      </c>
      <c r="M56" s="41"/>
      <c r="N56" s="68" t="str">
        <f t="shared" si="3"/>
        <v>-</v>
      </c>
      <c r="O56" s="41"/>
      <c r="P56" s="68" t="str">
        <f t="shared" si="4"/>
        <v>-</v>
      </c>
      <c r="Q56" s="41"/>
      <c r="R56" s="68" t="str">
        <f t="shared" si="5"/>
        <v>-</v>
      </c>
      <c r="S56" s="41"/>
      <c r="T56" s="68" t="str">
        <f t="shared" si="6"/>
        <v>-</v>
      </c>
      <c r="U56" s="41"/>
      <c r="V56" s="68" t="str">
        <f t="shared" si="7"/>
        <v>-</v>
      </c>
      <c r="W56" s="41"/>
      <c r="X56" s="68" t="str">
        <f t="shared" si="8"/>
        <v>-</v>
      </c>
      <c r="Y56" s="41"/>
      <c r="Z56" s="69" t="str">
        <f t="shared" si="9"/>
        <v>-</v>
      </c>
      <c r="AA56" s="13"/>
      <c r="AB56" s="85" t="str">
        <f t="shared" si="10"/>
        <v>-</v>
      </c>
      <c r="AC56" s="16"/>
      <c r="AD56" s="36" t="str">
        <f>IF(C56="","-", (VLOOKUP(C56, 'Attendance Sheet'!$C$7:$F$62,4,FALSE)))</f>
        <v>-</v>
      </c>
      <c r="AE56" s="18"/>
      <c r="AF56" s="89" t="str">
        <f>PRELIM!AF56</f>
        <v>-</v>
      </c>
      <c r="AG56" s="89" t="str">
        <f>MIDTERM!AG56</f>
        <v>-</v>
      </c>
      <c r="AH56" s="149" t="str">
        <f>IF(AB56 = "INC",
 "INC",
 IF(
  AB56 = "-",
  "-",
  VLOOKUP(AB56,'Grade Config'!$C$6:$D$37,2)
 )
)</f>
        <v>-</v>
      </c>
      <c r="AI56" s="153" t="str">
        <f t="shared" si="11"/>
        <v>-</v>
      </c>
      <c r="AJ56" s="156"/>
      <c r="AK56" s="14"/>
    </row>
    <row r="57" spans="2:37">
      <c r="B57" s="33">
        <v>41</v>
      </c>
      <c r="C57" s="57" t="str">
        <f>IF('Attendance Sheet'!C48 = "", "", 'Attendance Sheet'!C48)</f>
        <v/>
      </c>
      <c r="D57" s="57" t="str">
        <f>IF('Attendance Sheet'!D48 = "", "", 'Attendance Sheet'!D48)</f>
        <v/>
      </c>
      <c r="E57" s="61" t="str">
        <f>IF('Attendance Sheet'!E48 = "", "", 'Attendance Sheet'!E48)</f>
        <v/>
      </c>
      <c r="F57" s="19"/>
      <c r="G57" s="34"/>
      <c r="H57" s="68" t="str">
        <f t="shared" si="0"/>
        <v>-</v>
      </c>
      <c r="I57" s="41"/>
      <c r="J57" s="68" t="str">
        <f t="shared" si="1"/>
        <v>-</v>
      </c>
      <c r="K57" s="41"/>
      <c r="L57" s="68" t="str">
        <f t="shared" si="2"/>
        <v>-</v>
      </c>
      <c r="M57" s="41"/>
      <c r="N57" s="68" t="str">
        <f t="shared" si="3"/>
        <v>-</v>
      </c>
      <c r="O57" s="41"/>
      <c r="P57" s="68" t="str">
        <f t="shared" si="4"/>
        <v>-</v>
      </c>
      <c r="Q57" s="41"/>
      <c r="R57" s="68" t="str">
        <f t="shared" si="5"/>
        <v>-</v>
      </c>
      <c r="S57" s="41"/>
      <c r="T57" s="68" t="str">
        <f t="shared" si="6"/>
        <v>-</v>
      </c>
      <c r="U57" s="41"/>
      <c r="V57" s="68" t="str">
        <f t="shared" si="7"/>
        <v>-</v>
      </c>
      <c r="W57" s="41"/>
      <c r="X57" s="68" t="str">
        <f t="shared" si="8"/>
        <v>-</v>
      </c>
      <c r="Y57" s="41"/>
      <c r="Z57" s="69" t="str">
        <f t="shared" si="9"/>
        <v>-</v>
      </c>
      <c r="AA57" s="13"/>
      <c r="AB57" s="85" t="str">
        <f t="shared" si="10"/>
        <v>-</v>
      </c>
      <c r="AC57" s="16"/>
      <c r="AD57" s="36" t="str">
        <f>IF(C57="","-", (VLOOKUP(C57, 'Attendance Sheet'!$C$7:$F$62,4,FALSE)))</f>
        <v>-</v>
      </c>
      <c r="AE57" s="18"/>
      <c r="AF57" s="89" t="str">
        <f>PRELIM!AF57</f>
        <v>-</v>
      </c>
      <c r="AG57" s="89" t="str">
        <f>MIDTERM!AG57</f>
        <v>-</v>
      </c>
      <c r="AH57" s="149" t="str">
        <f>IF(AB57 = "INC",
 "INC",
 IF(
  AB57 = "-",
  "-",
  VLOOKUP(AB57,'Grade Config'!$C$6:$D$37,2)
 )
)</f>
        <v>-</v>
      </c>
      <c r="AI57" s="153" t="str">
        <f t="shared" si="11"/>
        <v>-</v>
      </c>
      <c r="AJ57" s="156"/>
      <c r="AK57" s="14"/>
    </row>
    <row r="58" spans="2:37">
      <c r="B58" s="33">
        <v>42</v>
      </c>
      <c r="C58" s="57" t="str">
        <f>IF('Attendance Sheet'!C49 = "", "", 'Attendance Sheet'!C49)</f>
        <v/>
      </c>
      <c r="D58" s="57" t="str">
        <f>IF('Attendance Sheet'!D49 = "", "", 'Attendance Sheet'!D49)</f>
        <v/>
      </c>
      <c r="E58" s="61" t="str">
        <f>IF('Attendance Sheet'!E49 = "", "", 'Attendance Sheet'!E49)</f>
        <v/>
      </c>
      <c r="F58" s="19"/>
      <c r="G58" s="34"/>
      <c r="H58" s="68" t="str">
        <f t="shared" si="0"/>
        <v>-</v>
      </c>
      <c r="I58" s="41"/>
      <c r="J58" s="68" t="str">
        <f t="shared" si="1"/>
        <v>-</v>
      </c>
      <c r="K58" s="41"/>
      <c r="L58" s="68" t="str">
        <f t="shared" si="2"/>
        <v>-</v>
      </c>
      <c r="M58" s="41"/>
      <c r="N58" s="68" t="str">
        <f t="shared" si="3"/>
        <v>-</v>
      </c>
      <c r="O58" s="41"/>
      <c r="P58" s="68" t="str">
        <f t="shared" si="4"/>
        <v>-</v>
      </c>
      <c r="Q58" s="41"/>
      <c r="R58" s="68" t="str">
        <f t="shared" si="5"/>
        <v>-</v>
      </c>
      <c r="S58" s="41"/>
      <c r="T58" s="68" t="str">
        <f t="shared" si="6"/>
        <v>-</v>
      </c>
      <c r="U58" s="41"/>
      <c r="V58" s="68" t="str">
        <f t="shared" si="7"/>
        <v>-</v>
      </c>
      <c r="W58" s="41"/>
      <c r="X58" s="68" t="str">
        <f t="shared" si="8"/>
        <v>-</v>
      </c>
      <c r="Y58" s="41"/>
      <c r="Z58" s="69" t="str">
        <f t="shared" si="9"/>
        <v>-</v>
      </c>
      <c r="AA58" s="13"/>
      <c r="AB58" s="85" t="str">
        <f t="shared" si="10"/>
        <v>-</v>
      </c>
      <c r="AC58" s="16"/>
      <c r="AD58" s="36" t="str">
        <f>IF(C58="","-", (VLOOKUP(C58, 'Attendance Sheet'!$C$7:$F$62,4,FALSE)))</f>
        <v>-</v>
      </c>
      <c r="AE58" s="18"/>
      <c r="AF58" s="89" t="str">
        <f>PRELIM!AF58</f>
        <v>-</v>
      </c>
      <c r="AG58" s="89" t="str">
        <f>MIDTERM!AG58</f>
        <v>-</v>
      </c>
      <c r="AH58" s="149" t="str">
        <f>IF(AB58 = "INC",
 "INC",
 IF(
  AB58 = "-",
  "-",
  VLOOKUP(AB58,'Grade Config'!$C$6:$D$37,2)
 )
)</f>
        <v>-</v>
      </c>
      <c r="AI58" s="153" t="str">
        <f t="shared" si="11"/>
        <v>-</v>
      </c>
      <c r="AJ58" s="156"/>
      <c r="AK58" s="14"/>
    </row>
    <row r="59" spans="2:37">
      <c r="B59" s="33">
        <v>43</v>
      </c>
      <c r="C59" s="57" t="str">
        <f>IF('Attendance Sheet'!C50 = "", "", 'Attendance Sheet'!C50)</f>
        <v/>
      </c>
      <c r="D59" s="57" t="str">
        <f>IF('Attendance Sheet'!D50 = "", "", 'Attendance Sheet'!D50)</f>
        <v/>
      </c>
      <c r="E59" s="61" t="str">
        <f>IF('Attendance Sheet'!E50 = "", "", 'Attendance Sheet'!E50)</f>
        <v/>
      </c>
      <c r="F59" s="19"/>
      <c r="G59" s="34"/>
      <c r="H59" s="68" t="str">
        <f t="shared" si="0"/>
        <v>-</v>
      </c>
      <c r="I59" s="41"/>
      <c r="J59" s="68" t="str">
        <f t="shared" si="1"/>
        <v>-</v>
      </c>
      <c r="K59" s="41"/>
      <c r="L59" s="68" t="str">
        <f t="shared" si="2"/>
        <v>-</v>
      </c>
      <c r="M59" s="41"/>
      <c r="N59" s="68" t="str">
        <f t="shared" si="3"/>
        <v>-</v>
      </c>
      <c r="O59" s="41"/>
      <c r="P59" s="68" t="str">
        <f t="shared" si="4"/>
        <v>-</v>
      </c>
      <c r="Q59" s="41"/>
      <c r="R59" s="68" t="str">
        <f t="shared" si="5"/>
        <v>-</v>
      </c>
      <c r="S59" s="41"/>
      <c r="T59" s="68" t="str">
        <f t="shared" si="6"/>
        <v>-</v>
      </c>
      <c r="U59" s="41"/>
      <c r="V59" s="68" t="str">
        <f t="shared" si="7"/>
        <v>-</v>
      </c>
      <c r="W59" s="41"/>
      <c r="X59" s="68" t="str">
        <f t="shared" si="8"/>
        <v>-</v>
      </c>
      <c r="Y59" s="41"/>
      <c r="Z59" s="69" t="str">
        <f t="shared" si="9"/>
        <v>-</v>
      </c>
      <c r="AA59" s="13"/>
      <c r="AB59" s="85" t="str">
        <f t="shared" si="10"/>
        <v>-</v>
      </c>
      <c r="AC59" s="16"/>
      <c r="AD59" s="36" t="str">
        <f>IF(C59="","-", (VLOOKUP(C59, 'Attendance Sheet'!$C$7:$F$62,4,FALSE)))</f>
        <v>-</v>
      </c>
      <c r="AE59" s="18"/>
      <c r="AF59" s="89" t="str">
        <f>PRELIM!AF59</f>
        <v>-</v>
      </c>
      <c r="AG59" s="89" t="str">
        <f>MIDTERM!AG59</f>
        <v>-</v>
      </c>
      <c r="AH59" s="149" t="str">
        <f>IF(AB59 = "INC",
 "INC",
 IF(
  AB59 = "-",
  "-",
  VLOOKUP(AB59,'Grade Config'!$C$6:$D$37,2)
 )
)</f>
        <v>-</v>
      </c>
      <c r="AI59" s="153" t="str">
        <f t="shared" si="11"/>
        <v>-</v>
      </c>
      <c r="AJ59" s="156"/>
      <c r="AK59" s="14"/>
    </row>
    <row r="60" spans="2:37">
      <c r="B60" s="33">
        <v>44</v>
      </c>
      <c r="C60" s="57" t="str">
        <f>IF('Attendance Sheet'!C51 = "", "", 'Attendance Sheet'!C51)</f>
        <v/>
      </c>
      <c r="D60" s="57" t="str">
        <f>IF('Attendance Sheet'!D51 = "", "", 'Attendance Sheet'!D51)</f>
        <v/>
      </c>
      <c r="E60" s="61" t="str">
        <f>IF('Attendance Sheet'!E51 = "", "", 'Attendance Sheet'!E51)</f>
        <v/>
      </c>
      <c r="F60" s="19"/>
      <c r="G60" s="34"/>
      <c r="H60" s="68" t="str">
        <f t="shared" si="0"/>
        <v>-</v>
      </c>
      <c r="I60" s="41"/>
      <c r="J60" s="68" t="str">
        <f t="shared" si="1"/>
        <v>-</v>
      </c>
      <c r="K60" s="41"/>
      <c r="L60" s="68" t="str">
        <f t="shared" si="2"/>
        <v>-</v>
      </c>
      <c r="M60" s="41"/>
      <c r="N60" s="68" t="str">
        <f t="shared" si="3"/>
        <v>-</v>
      </c>
      <c r="O60" s="41"/>
      <c r="P60" s="68" t="str">
        <f t="shared" si="4"/>
        <v>-</v>
      </c>
      <c r="Q60" s="41"/>
      <c r="R60" s="68" t="str">
        <f t="shared" si="5"/>
        <v>-</v>
      </c>
      <c r="S60" s="41"/>
      <c r="T60" s="68" t="str">
        <f t="shared" si="6"/>
        <v>-</v>
      </c>
      <c r="U60" s="41"/>
      <c r="V60" s="68" t="str">
        <f t="shared" si="7"/>
        <v>-</v>
      </c>
      <c r="W60" s="41"/>
      <c r="X60" s="68" t="str">
        <f t="shared" si="8"/>
        <v>-</v>
      </c>
      <c r="Y60" s="41"/>
      <c r="Z60" s="69" t="str">
        <f t="shared" si="9"/>
        <v>-</v>
      </c>
      <c r="AA60" s="13"/>
      <c r="AB60" s="85" t="str">
        <f t="shared" si="10"/>
        <v>-</v>
      </c>
      <c r="AC60" s="16"/>
      <c r="AD60" s="36" t="str">
        <f>IF(C60="","-", (VLOOKUP(C60, 'Attendance Sheet'!$C$7:$F$62,4,FALSE)))</f>
        <v>-</v>
      </c>
      <c r="AE60" s="18"/>
      <c r="AF60" s="89" t="str">
        <f>PRELIM!AF60</f>
        <v>-</v>
      </c>
      <c r="AG60" s="89" t="str">
        <f>MIDTERM!AG60</f>
        <v>-</v>
      </c>
      <c r="AH60" s="149" t="str">
        <f>IF(AB60 = "INC",
 "INC",
 IF(
  AB60 = "-",
  "-",
  VLOOKUP(AB60,'Grade Config'!$C$6:$D$37,2)
 )
)</f>
        <v>-</v>
      </c>
      <c r="AI60" s="153" t="str">
        <f t="shared" si="11"/>
        <v>-</v>
      </c>
      <c r="AJ60" s="156"/>
      <c r="AK60" s="14"/>
    </row>
    <row r="61" spans="2:37">
      <c r="B61" s="33">
        <v>45</v>
      </c>
      <c r="C61" s="57" t="str">
        <f>IF('Attendance Sheet'!C52 = "", "", 'Attendance Sheet'!C52)</f>
        <v/>
      </c>
      <c r="D61" s="57" t="str">
        <f>IF('Attendance Sheet'!D52 = "", "", 'Attendance Sheet'!D52)</f>
        <v/>
      </c>
      <c r="E61" s="61" t="str">
        <f>IF('Attendance Sheet'!E52 = "", "", 'Attendance Sheet'!E52)</f>
        <v/>
      </c>
      <c r="F61" s="19"/>
      <c r="G61" s="34"/>
      <c r="H61" s="68" t="str">
        <f t="shared" si="0"/>
        <v>-</v>
      </c>
      <c r="I61" s="41"/>
      <c r="J61" s="68" t="str">
        <f t="shared" si="1"/>
        <v>-</v>
      </c>
      <c r="K61" s="41"/>
      <c r="L61" s="68" t="str">
        <f t="shared" si="2"/>
        <v>-</v>
      </c>
      <c r="M61" s="41"/>
      <c r="N61" s="68" t="str">
        <f t="shared" si="3"/>
        <v>-</v>
      </c>
      <c r="O61" s="41"/>
      <c r="P61" s="68" t="str">
        <f t="shared" si="4"/>
        <v>-</v>
      </c>
      <c r="Q61" s="41"/>
      <c r="R61" s="68" t="str">
        <f t="shared" si="5"/>
        <v>-</v>
      </c>
      <c r="S61" s="41"/>
      <c r="T61" s="68" t="str">
        <f t="shared" si="6"/>
        <v>-</v>
      </c>
      <c r="U61" s="41"/>
      <c r="V61" s="68" t="str">
        <f t="shared" si="7"/>
        <v>-</v>
      </c>
      <c r="W61" s="41"/>
      <c r="X61" s="68" t="str">
        <f t="shared" si="8"/>
        <v>-</v>
      </c>
      <c r="Y61" s="41"/>
      <c r="Z61" s="69" t="str">
        <f t="shared" si="9"/>
        <v>-</v>
      </c>
      <c r="AA61" s="13"/>
      <c r="AB61" s="85" t="str">
        <f t="shared" si="10"/>
        <v>-</v>
      </c>
      <c r="AC61" s="16"/>
      <c r="AD61" s="36" t="str">
        <f>IF(C61="","-", (VLOOKUP(C61, 'Attendance Sheet'!$C$7:$F$62,4,FALSE)))</f>
        <v>-</v>
      </c>
      <c r="AE61" s="18"/>
      <c r="AF61" s="89" t="str">
        <f>PRELIM!AF61</f>
        <v>-</v>
      </c>
      <c r="AG61" s="89" t="str">
        <f>MIDTERM!AG61</f>
        <v>-</v>
      </c>
      <c r="AH61" s="149" t="str">
        <f>IF(AB61 = "INC",
 "INC",
 IF(
  AB61 = "-",
  "-",
  VLOOKUP(AB61,'Grade Config'!$C$6:$D$37,2)
 )
)</f>
        <v>-</v>
      </c>
      <c r="AI61" s="153" t="str">
        <f t="shared" si="11"/>
        <v>-</v>
      </c>
      <c r="AJ61" s="156"/>
      <c r="AK61" s="14"/>
    </row>
    <row r="62" spans="2:37">
      <c r="B62" s="33">
        <v>46</v>
      </c>
      <c r="C62" s="57" t="str">
        <f>IF('Attendance Sheet'!C53 = "", "", 'Attendance Sheet'!C53)</f>
        <v/>
      </c>
      <c r="D62" s="57" t="str">
        <f>IF('Attendance Sheet'!D53 = "", "", 'Attendance Sheet'!D53)</f>
        <v/>
      </c>
      <c r="E62" s="61" t="str">
        <f>IF('Attendance Sheet'!E53 = "", "", 'Attendance Sheet'!E53)</f>
        <v/>
      </c>
      <c r="F62" s="19"/>
      <c r="G62" s="34"/>
      <c r="H62" s="68" t="str">
        <f t="shared" si="0"/>
        <v>-</v>
      </c>
      <c r="I62" s="41"/>
      <c r="J62" s="68" t="str">
        <f t="shared" si="1"/>
        <v>-</v>
      </c>
      <c r="K62" s="41"/>
      <c r="L62" s="68" t="str">
        <f t="shared" si="2"/>
        <v>-</v>
      </c>
      <c r="M62" s="41"/>
      <c r="N62" s="68" t="str">
        <f t="shared" si="3"/>
        <v>-</v>
      </c>
      <c r="O62" s="41"/>
      <c r="P62" s="68" t="str">
        <f t="shared" si="4"/>
        <v>-</v>
      </c>
      <c r="Q62" s="41"/>
      <c r="R62" s="68" t="str">
        <f t="shared" si="5"/>
        <v>-</v>
      </c>
      <c r="S62" s="41"/>
      <c r="T62" s="68" t="str">
        <f t="shared" si="6"/>
        <v>-</v>
      </c>
      <c r="U62" s="41"/>
      <c r="V62" s="68" t="str">
        <f t="shared" si="7"/>
        <v>-</v>
      </c>
      <c r="W62" s="41"/>
      <c r="X62" s="68" t="str">
        <f t="shared" si="8"/>
        <v>-</v>
      </c>
      <c r="Y62" s="41"/>
      <c r="Z62" s="69" t="str">
        <f t="shared" si="9"/>
        <v>-</v>
      </c>
      <c r="AA62" s="13"/>
      <c r="AB62" s="85" t="str">
        <f t="shared" si="10"/>
        <v>-</v>
      </c>
      <c r="AC62" s="16"/>
      <c r="AD62" s="36" t="str">
        <f>IF(C62="","-", (VLOOKUP(C62, 'Attendance Sheet'!$C$7:$F$62,4,FALSE)))</f>
        <v>-</v>
      </c>
      <c r="AE62" s="18"/>
      <c r="AF62" s="89" t="str">
        <f>PRELIM!AF62</f>
        <v>-</v>
      </c>
      <c r="AG62" s="89" t="str">
        <f>MIDTERM!AG62</f>
        <v>-</v>
      </c>
      <c r="AH62" s="149" t="str">
        <f>IF(AB62 = "INC",
 "INC",
 IF(
  AB62 = "-",
  "-",
  VLOOKUP(AB62,'Grade Config'!$C$6:$D$37,2)
 )
)</f>
        <v>-</v>
      </c>
      <c r="AI62" s="153" t="str">
        <f t="shared" si="11"/>
        <v>-</v>
      </c>
      <c r="AJ62" s="156"/>
      <c r="AK62" s="14"/>
    </row>
    <row r="63" spans="2:37">
      <c r="B63" s="33">
        <v>47</v>
      </c>
      <c r="C63" s="57" t="str">
        <f>IF('Attendance Sheet'!C54 = "", "", 'Attendance Sheet'!C54)</f>
        <v/>
      </c>
      <c r="D63" s="57" t="str">
        <f>IF('Attendance Sheet'!D54 = "", "", 'Attendance Sheet'!D54)</f>
        <v/>
      </c>
      <c r="E63" s="61" t="str">
        <f>IF('Attendance Sheet'!E54 = "", "", 'Attendance Sheet'!E54)</f>
        <v/>
      </c>
      <c r="F63" s="19"/>
      <c r="G63" s="34"/>
      <c r="H63" s="68" t="str">
        <f t="shared" si="0"/>
        <v>-</v>
      </c>
      <c r="I63" s="41"/>
      <c r="J63" s="68" t="str">
        <f t="shared" si="1"/>
        <v>-</v>
      </c>
      <c r="K63" s="41"/>
      <c r="L63" s="68" t="str">
        <f t="shared" si="2"/>
        <v>-</v>
      </c>
      <c r="M63" s="41"/>
      <c r="N63" s="68" t="str">
        <f t="shared" si="3"/>
        <v>-</v>
      </c>
      <c r="O63" s="41"/>
      <c r="P63" s="68" t="str">
        <f t="shared" si="4"/>
        <v>-</v>
      </c>
      <c r="Q63" s="41"/>
      <c r="R63" s="68" t="str">
        <f t="shared" si="5"/>
        <v>-</v>
      </c>
      <c r="S63" s="41"/>
      <c r="T63" s="68" t="str">
        <f t="shared" si="6"/>
        <v>-</v>
      </c>
      <c r="U63" s="41"/>
      <c r="V63" s="68" t="str">
        <f t="shared" si="7"/>
        <v>-</v>
      </c>
      <c r="W63" s="41"/>
      <c r="X63" s="68" t="str">
        <f t="shared" si="8"/>
        <v>-</v>
      </c>
      <c r="Y63" s="41"/>
      <c r="Z63" s="69" t="str">
        <f t="shared" si="9"/>
        <v>-</v>
      </c>
      <c r="AA63" s="13"/>
      <c r="AB63" s="85" t="str">
        <f t="shared" si="10"/>
        <v>-</v>
      </c>
      <c r="AC63" s="16"/>
      <c r="AD63" s="36" t="str">
        <f>IF(C63="","-", (VLOOKUP(C63, 'Attendance Sheet'!$C$7:$F$62,4,FALSE)))</f>
        <v>-</v>
      </c>
      <c r="AE63" s="18"/>
      <c r="AF63" s="89" t="str">
        <f>PRELIM!AF63</f>
        <v>-</v>
      </c>
      <c r="AG63" s="89" t="str">
        <f>MIDTERM!AG63</f>
        <v>-</v>
      </c>
      <c r="AH63" s="149" t="str">
        <f>IF(AB63 = "INC",
 "INC",
 IF(
  AB63 = "-",
  "-",
  VLOOKUP(AB63,'Grade Config'!$C$6:$D$37,2)
 )
)</f>
        <v>-</v>
      </c>
      <c r="AI63" s="153" t="str">
        <f t="shared" si="11"/>
        <v>-</v>
      </c>
      <c r="AJ63" s="156"/>
      <c r="AK63" s="14"/>
    </row>
    <row r="64" spans="2:37">
      <c r="B64" s="33">
        <v>48</v>
      </c>
      <c r="C64" s="57" t="str">
        <f>IF('Attendance Sheet'!C55 = "", "", 'Attendance Sheet'!C55)</f>
        <v/>
      </c>
      <c r="D64" s="57" t="str">
        <f>IF('Attendance Sheet'!D55 = "", "", 'Attendance Sheet'!D55)</f>
        <v/>
      </c>
      <c r="E64" s="61" t="str">
        <f>IF('Attendance Sheet'!E55 = "", "", 'Attendance Sheet'!E55)</f>
        <v/>
      </c>
      <c r="F64" s="19"/>
      <c r="G64" s="34"/>
      <c r="H64" s="68" t="str">
        <f t="shared" si="0"/>
        <v>-</v>
      </c>
      <c r="I64" s="41"/>
      <c r="J64" s="68" t="str">
        <f t="shared" si="1"/>
        <v>-</v>
      </c>
      <c r="K64" s="41"/>
      <c r="L64" s="68" t="str">
        <f t="shared" si="2"/>
        <v>-</v>
      </c>
      <c r="M64" s="41"/>
      <c r="N64" s="68" t="str">
        <f t="shared" si="3"/>
        <v>-</v>
      </c>
      <c r="O64" s="41"/>
      <c r="P64" s="68" t="str">
        <f t="shared" si="4"/>
        <v>-</v>
      </c>
      <c r="Q64" s="41"/>
      <c r="R64" s="68" t="str">
        <f t="shared" si="5"/>
        <v>-</v>
      </c>
      <c r="S64" s="41"/>
      <c r="T64" s="68" t="str">
        <f t="shared" si="6"/>
        <v>-</v>
      </c>
      <c r="U64" s="41"/>
      <c r="V64" s="68" t="str">
        <f t="shared" si="7"/>
        <v>-</v>
      </c>
      <c r="W64" s="41"/>
      <c r="X64" s="68" t="str">
        <f t="shared" si="8"/>
        <v>-</v>
      </c>
      <c r="Y64" s="41"/>
      <c r="Z64" s="69" t="str">
        <f t="shared" si="9"/>
        <v>-</v>
      </c>
      <c r="AA64" s="13"/>
      <c r="AB64" s="85" t="str">
        <f t="shared" si="10"/>
        <v>-</v>
      </c>
      <c r="AC64" s="16"/>
      <c r="AD64" s="36" t="str">
        <f>IF(C64="","-", (VLOOKUP(C64, 'Attendance Sheet'!$C$7:$F$62,4,FALSE)))</f>
        <v>-</v>
      </c>
      <c r="AE64" s="18"/>
      <c r="AF64" s="89" t="str">
        <f>PRELIM!AF64</f>
        <v>-</v>
      </c>
      <c r="AG64" s="89" t="str">
        <f>MIDTERM!AG64</f>
        <v>-</v>
      </c>
      <c r="AH64" s="149" t="str">
        <f>IF(AB64 = "INC",
 "INC",
 IF(
  AB64 = "-",
  "-",
  VLOOKUP(AB64,'Grade Config'!$C$6:$D$37,2)
 )
)</f>
        <v>-</v>
      </c>
      <c r="AI64" s="153" t="str">
        <f t="shared" si="11"/>
        <v>-</v>
      </c>
      <c r="AJ64" s="156"/>
      <c r="AK64" s="14"/>
    </row>
    <row r="65" spans="2:37">
      <c r="B65" s="33">
        <v>49</v>
      </c>
      <c r="C65" s="57" t="str">
        <f>IF('Attendance Sheet'!C56 = "", "", 'Attendance Sheet'!C56)</f>
        <v/>
      </c>
      <c r="D65" s="57" t="str">
        <f>IF('Attendance Sheet'!D56 = "", "", 'Attendance Sheet'!D56)</f>
        <v/>
      </c>
      <c r="E65" s="61" t="str">
        <f>IF('Attendance Sheet'!E56 = "", "", 'Attendance Sheet'!E56)</f>
        <v/>
      </c>
      <c r="F65" s="19"/>
      <c r="G65" s="34"/>
      <c r="H65" s="68" t="str">
        <f t="shared" si="0"/>
        <v>-</v>
      </c>
      <c r="I65" s="41"/>
      <c r="J65" s="68" t="str">
        <f t="shared" si="1"/>
        <v>-</v>
      </c>
      <c r="K65" s="41"/>
      <c r="L65" s="68" t="str">
        <f t="shared" si="2"/>
        <v>-</v>
      </c>
      <c r="M65" s="41"/>
      <c r="N65" s="68" t="str">
        <f t="shared" si="3"/>
        <v>-</v>
      </c>
      <c r="O65" s="41"/>
      <c r="P65" s="68" t="str">
        <f t="shared" si="4"/>
        <v>-</v>
      </c>
      <c r="Q65" s="41"/>
      <c r="R65" s="68" t="str">
        <f t="shared" si="5"/>
        <v>-</v>
      </c>
      <c r="S65" s="41"/>
      <c r="T65" s="68" t="str">
        <f t="shared" si="6"/>
        <v>-</v>
      </c>
      <c r="U65" s="41"/>
      <c r="V65" s="68" t="str">
        <f t="shared" si="7"/>
        <v>-</v>
      </c>
      <c r="W65" s="41"/>
      <c r="X65" s="68" t="str">
        <f t="shared" si="8"/>
        <v>-</v>
      </c>
      <c r="Y65" s="41"/>
      <c r="Z65" s="69" t="str">
        <f t="shared" si="9"/>
        <v>-</v>
      </c>
      <c r="AA65" s="13"/>
      <c r="AB65" s="85" t="str">
        <f t="shared" si="10"/>
        <v>-</v>
      </c>
      <c r="AC65" s="16"/>
      <c r="AD65" s="36" t="str">
        <f>IF(C65="","-", (VLOOKUP(C65, 'Attendance Sheet'!$C$7:$F$62,4,FALSE)))</f>
        <v>-</v>
      </c>
      <c r="AE65" s="18"/>
      <c r="AF65" s="89" t="str">
        <f>PRELIM!AF65</f>
        <v>-</v>
      </c>
      <c r="AG65" s="89" t="str">
        <f>MIDTERM!AG65</f>
        <v>-</v>
      </c>
      <c r="AH65" s="149" t="str">
        <f>IF(AB65 = "INC",
 "INC",
 IF(
  AB65 = "-",
  "-",
  VLOOKUP(AB65,'Grade Config'!$C$6:$D$37,2)
 )
)</f>
        <v>-</v>
      </c>
      <c r="AI65" s="153" t="str">
        <f t="shared" si="11"/>
        <v>-</v>
      </c>
      <c r="AJ65" s="156"/>
      <c r="AK65" s="14"/>
    </row>
    <row r="66" spans="2:37">
      <c r="B66" s="33">
        <v>50</v>
      </c>
      <c r="C66" s="57" t="str">
        <f>IF('Attendance Sheet'!C57 = "", "", 'Attendance Sheet'!C57)</f>
        <v/>
      </c>
      <c r="D66" s="57" t="str">
        <f>IF('Attendance Sheet'!D57 = "", "", 'Attendance Sheet'!D57)</f>
        <v/>
      </c>
      <c r="E66" s="61" t="str">
        <f>IF('Attendance Sheet'!E57 = "", "", 'Attendance Sheet'!E57)</f>
        <v/>
      </c>
      <c r="F66" s="19"/>
      <c r="G66" s="34"/>
      <c r="H66" s="68" t="str">
        <f t="shared" si="0"/>
        <v>-</v>
      </c>
      <c r="I66" s="41"/>
      <c r="J66" s="68" t="str">
        <f t="shared" si="1"/>
        <v>-</v>
      </c>
      <c r="K66" s="41"/>
      <c r="L66" s="68" t="str">
        <f t="shared" si="2"/>
        <v>-</v>
      </c>
      <c r="M66" s="41"/>
      <c r="N66" s="68" t="str">
        <f t="shared" si="3"/>
        <v>-</v>
      </c>
      <c r="O66" s="41"/>
      <c r="P66" s="68" t="str">
        <f t="shared" si="4"/>
        <v>-</v>
      </c>
      <c r="Q66" s="41"/>
      <c r="R66" s="68" t="str">
        <f t="shared" si="5"/>
        <v>-</v>
      </c>
      <c r="S66" s="41"/>
      <c r="T66" s="68" t="str">
        <f t="shared" si="6"/>
        <v>-</v>
      </c>
      <c r="U66" s="41"/>
      <c r="V66" s="68" t="str">
        <f t="shared" si="7"/>
        <v>-</v>
      </c>
      <c r="W66" s="41"/>
      <c r="X66" s="68" t="str">
        <f t="shared" si="8"/>
        <v>-</v>
      </c>
      <c r="Y66" s="41"/>
      <c r="Z66" s="69" t="str">
        <f t="shared" si="9"/>
        <v>-</v>
      </c>
      <c r="AA66" s="13"/>
      <c r="AB66" s="85" t="str">
        <f t="shared" si="10"/>
        <v>-</v>
      </c>
      <c r="AC66" s="16"/>
      <c r="AD66" s="36" t="str">
        <f>IF(C66="","-", (VLOOKUP(C66, 'Attendance Sheet'!$C$7:$F$62,4,FALSE)))</f>
        <v>-</v>
      </c>
      <c r="AE66" s="18"/>
      <c r="AF66" s="89" t="str">
        <f>PRELIM!AF66</f>
        <v>-</v>
      </c>
      <c r="AG66" s="89" t="str">
        <f>MIDTERM!AG66</f>
        <v>-</v>
      </c>
      <c r="AH66" s="149" t="str">
        <f>IF(AB66 = "INC",
 "INC",
 IF(
  AB66 = "-",
  "-",
  VLOOKUP(AB66,'Grade Config'!$C$6:$D$37,2)
 )
)</f>
        <v>-</v>
      </c>
      <c r="AI66" s="153" t="str">
        <f t="shared" si="11"/>
        <v>-</v>
      </c>
      <c r="AJ66" s="156"/>
      <c r="AK66" s="14"/>
    </row>
    <row r="67" spans="2:37">
      <c r="B67" s="33">
        <v>51</v>
      </c>
      <c r="C67" s="57" t="str">
        <f>IF('Attendance Sheet'!C58 = "", "", 'Attendance Sheet'!C58)</f>
        <v/>
      </c>
      <c r="D67" s="57" t="str">
        <f>IF('Attendance Sheet'!D58 = "", "", 'Attendance Sheet'!D58)</f>
        <v/>
      </c>
      <c r="E67" s="61" t="str">
        <f>IF('Attendance Sheet'!E58 = "", "", 'Attendance Sheet'!E58)</f>
        <v/>
      </c>
      <c r="F67" s="19"/>
      <c r="G67" s="34"/>
      <c r="H67" s="68" t="str">
        <f t="shared" si="0"/>
        <v>-</v>
      </c>
      <c r="I67" s="41"/>
      <c r="J67" s="68" t="str">
        <f t="shared" si="1"/>
        <v>-</v>
      </c>
      <c r="K67" s="41"/>
      <c r="L67" s="68" t="str">
        <f t="shared" si="2"/>
        <v>-</v>
      </c>
      <c r="M67" s="41"/>
      <c r="N67" s="68" t="str">
        <f t="shared" si="3"/>
        <v>-</v>
      </c>
      <c r="O67" s="41"/>
      <c r="P67" s="68" t="str">
        <f t="shared" si="4"/>
        <v>-</v>
      </c>
      <c r="Q67" s="41"/>
      <c r="R67" s="68" t="str">
        <f t="shared" si="5"/>
        <v>-</v>
      </c>
      <c r="S67" s="41"/>
      <c r="T67" s="68" t="str">
        <f t="shared" si="6"/>
        <v>-</v>
      </c>
      <c r="U67" s="41"/>
      <c r="V67" s="68" t="str">
        <f t="shared" si="7"/>
        <v>-</v>
      </c>
      <c r="W67" s="41"/>
      <c r="X67" s="68" t="str">
        <f t="shared" si="8"/>
        <v>-</v>
      </c>
      <c r="Y67" s="41"/>
      <c r="Z67" s="69" t="str">
        <f t="shared" si="9"/>
        <v>-</v>
      </c>
      <c r="AA67" s="13"/>
      <c r="AB67" s="85" t="str">
        <f t="shared" si="10"/>
        <v>-</v>
      </c>
      <c r="AC67" s="16"/>
      <c r="AD67" s="36" t="str">
        <f>IF(C67="","-", (VLOOKUP(C67, 'Attendance Sheet'!$C$7:$F$62,4,FALSE)))</f>
        <v>-</v>
      </c>
      <c r="AE67" s="18"/>
      <c r="AF67" s="89" t="str">
        <f>PRELIM!AF67</f>
        <v>-</v>
      </c>
      <c r="AG67" s="89" t="str">
        <f>MIDTERM!AG67</f>
        <v>-</v>
      </c>
      <c r="AH67" s="149" t="str">
        <f>IF(AB67 = "INC",
 "INC",
 IF(
  AB67 = "-",
  "-",
  VLOOKUP(AB67,'Grade Config'!$C$6:$D$37,2)
 )
)</f>
        <v>-</v>
      </c>
      <c r="AI67" s="153" t="str">
        <f t="shared" si="11"/>
        <v>-</v>
      </c>
      <c r="AJ67" s="156"/>
      <c r="AK67" s="14"/>
    </row>
    <row r="68" spans="2:37">
      <c r="B68" s="33">
        <v>52</v>
      </c>
      <c r="C68" s="57" t="str">
        <f>IF('Attendance Sheet'!C59 = "", "", 'Attendance Sheet'!C59)</f>
        <v/>
      </c>
      <c r="D68" s="57" t="str">
        <f>IF('Attendance Sheet'!D59 = "", "", 'Attendance Sheet'!D59)</f>
        <v/>
      </c>
      <c r="E68" s="61" t="str">
        <f>IF('Attendance Sheet'!E59 = "", "", 'Attendance Sheet'!E59)</f>
        <v/>
      </c>
      <c r="F68" s="19"/>
      <c r="G68" s="34"/>
      <c r="H68" s="68" t="str">
        <f t="shared" si="0"/>
        <v>-</v>
      </c>
      <c r="I68" s="41"/>
      <c r="J68" s="68" t="str">
        <f t="shared" si="1"/>
        <v>-</v>
      </c>
      <c r="K68" s="41"/>
      <c r="L68" s="68" t="str">
        <f t="shared" si="2"/>
        <v>-</v>
      </c>
      <c r="M68" s="41"/>
      <c r="N68" s="68" t="str">
        <f t="shared" si="3"/>
        <v>-</v>
      </c>
      <c r="O68" s="41"/>
      <c r="P68" s="68" t="str">
        <f t="shared" si="4"/>
        <v>-</v>
      </c>
      <c r="Q68" s="41"/>
      <c r="R68" s="68" t="str">
        <f t="shared" si="5"/>
        <v>-</v>
      </c>
      <c r="S68" s="41"/>
      <c r="T68" s="68" t="str">
        <f t="shared" si="6"/>
        <v>-</v>
      </c>
      <c r="U68" s="41"/>
      <c r="V68" s="68" t="str">
        <f t="shared" si="7"/>
        <v>-</v>
      </c>
      <c r="W68" s="41"/>
      <c r="X68" s="68" t="str">
        <f t="shared" si="8"/>
        <v>-</v>
      </c>
      <c r="Y68" s="41"/>
      <c r="Z68" s="69" t="str">
        <f t="shared" si="9"/>
        <v>-</v>
      </c>
      <c r="AA68" s="13"/>
      <c r="AB68" s="85" t="str">
        <f t="shared" si="10"/>
        <v>-</v>
      </c>
      <c r="AC68" s="16"/>
      <c r="AD68" s="36" t="str">
        <f>IF(C68="","-", (VLOOKUP(C68, 'Attendance Sheet'!$C$7:$F$62,4,FALSE)))</f>
        <v>-</v>
      </c>
      <c r="AE68" s="18"/>
      <c r="AF68" s="89" t="str">
        <f>PRELIM!AF68</f>
        <v>-</v>
      </c>
      <c r="AG68" s="89" t="str">
        <f>MIDTERM!AG68</f>
        <v>-</v>
      </c>
      <c r="AH68" s="149" t="str">
        <f>IF(AB68 = "INC",
 "INC",
 IF(
  AB68 = "-",
  "-",
  VLOOKUP(AB68,'Grade Config'!$C$6:$D$37,2)
 )
)</f>
        <v>-</v>
      </c>
      <c r="AI68" s="153" t="str">
        <f t="shared" si="11"/>
        <v>-</v>
      </c>
      <c r="AJ68" s="156"/>
      <c r="AK68" s="14"/>
    </row>
    <row r="69" spans="2:37">
      <c r="B69" s="33">
        <v>53</v>
      </c>
      <c r="C69" s="57" t="str">
        <f>IF('Attendance Sheet'!C60 = "", "", 'Attendance Sheet'!C60)</f>
        <v/>
      </c>
      <c r="D69" s="57" t="str">
        <f>IF('Attendance Sheet'!D60 = "", "", 'Attendance Sheet'!D60)</f>
        <v/>
      </c>
      <c r="E69" s="61" t="str">
        <f>IF('Attendance Sheet'!E60 = "", "", 'Attendance Sheet'!E60)</f>
        <v/>
      </c>
      <c r="F69" s="19"/>
      <c r="G69" s="34"/>
      <c r="H69" s="68" t="str">
        <f t="shared" si="0"/>
        <v>-</v>
      </c>
      <c r="I69" s="41"/>
      <c r="J69" s="68" t="str">
        <f t="shared" si="1"/>
        <v>-</v>
      </c>
      <c r="K69" s="41"/>
      <c r="L69" s="68" t="str">
        <f t="shared" si="2"/>
        <v>-</v>
      </c>
      <c r="M69" s="41"/>
      <c r="N69" s="68" t="str">
        <f t="shared" si="3"/>
        <v>-</v>
      </c>
      <c r="O69" s="41"/>
      <c r="P69" s="68" t="str">
        <f t="shared" si="4"/>
        <v>-</v>
      </c>
      <c r="Q69" s="41"/>
      <c r="R69" s="68" t="str">
        <f t="shared" si="5"/>
        <v>-</v>
      </c>
      <c r="S69" s="41"/>
      <c r="T69" s="68" t="str">
        <f t="shared" si="6"/>
        <v>-</v>
      </c>
      <c r="U69" s="41"/>
      <c r="V69" s="68" t="str">
        <f t="shared" si="7"/>
        <v>-</v>
      </c>
      <c r="W69" s="41"/>
      <c r="X69" s="68" t="str">
        <f t="shared" si="8"/>
        <v>-</v>
      </c>
      <c r="Y69" s="41"/>
      <c r="Z69" s="69" t="str">
        <f t="shared" si="9"/>
        <v>-</v>
      </c>
      <c r="AA69" s="13"/>
      <c r="AB69" s="85" t="str">
        <f t="shared" si="10"/>
        <v>-</v>
      </c>
      <c r="AC69" s="16"/>
      <c r="AD69" s="36" t="str">
        <f>IF(C69="","-", (VLOOKUP(C69, 'Attendance Sheet'!$C$7:$F$62,4,FALSE)))</f>
        <v>-</v>
      </c>
      <c r="AE69" s="18"/>
      <c r="AF69" s="89" t="str">
        <f>PRELIM!AF69</f>
        <v>-</v>
      </c>
      <c r="AG69" s="89" t="str">
        <f>MIDTERM!AG69</f>
        <v>-</v>
      </c>
      <c r="AH69" s="149" t="str">
        <f>IF(AB69 = "INC",
 "INC",
 IF(
  AB69 = "-",
  "-",
  VLOOKUP(AB69,'Grade Config'!$C$6:$D$37,2)
 )
)</f>
        <v>-</v>
      </c>
      <c r="AI69" s="153" t="str">
        <f t="shared" si="11"/>
        <v>-</v>
      </c>
      <c r="AJ69" s="156"/>
      <c r="AK69" s="14"/>
    </row>
    <row r="70" spans="2:37">
      <c r="B70" s="33">
        <v>54</v>
      </c>
      <c r="C70" s="57" t="str">
        <f>IF('Attendance Sheet'!C61 = "", "", 'Attendance Sheet'!C61)</f>
        <v/>
      </c>
      <c r="D70" s="57" t="str">
        <f>IF('Attendance Sheet'!D61 = "", "", 'Attendance Sheet'!D61)</f>
        <v/>
      </c>
      <c r="E70" s="61" t="str">
        <f>IF('Attendance Sheet'!E61 = "", "", 'Attendance Sheet'!E61)</f>
        <v/>
      </c>
      <c r="F70" s="19"/>
      <c r="G70" s="34"/>
      <c r="H70" s="68" t="str">
        <f t="shared" si="0"/>
        <v>-</v>
      </c>
      <c r="I70" s="41"/>
      <c r="J70" s="68" t="str">
        <f t="shared" si="1"/>
        <v>-</v>
      </c>
      <c r="K70" s="41"/>
      <c r="L70" s="68" t="str">
        <f t="shared" si="2"/>
        <v>-</v>
      </c>
      <c r="M70" s="41"/>
      <c r="N70" s="68" t="str">
        <f t="shared" si="3"/>
        <v>-</v>
      </c>
      <c r="O70" s="41"/>
      <c r="P70" s="68" t="str">
        <f t="shared" si="4"/>
        <v>-</v>
      </c>
      <c r="Q70" s="41"/>
      <c r="R70" s="68" t="str">
        <f t="shared" si="5"/>
        <v>-</v>
      </c>
      <c r="S70" s="41"/>
      <c r="T70" s="68" t="str">
        <f t="shared" si="6"/>
        <v>-</v>
      </c>
      <c r="U70" s="41"/>
      <c r="V70" s="68" t="str">
        <f t="shared" si="7"/>
        <v>-</v>
      </c>
      <c r="W70" s="41"/>
      <c r="X70" s="68" t="str">
        <f t="shared" si="8"/>
        <v>-</v>
      </c>
      <c r="Y70" s="41"/>
      <c r="Z70" s="69" t="str">
        <f t="shared" si="9"/>
        <v>-</v>
      </c>
      <c r="AA70" s="13"/>
      <c r="AB70" s="85" t="str">
        <f t="shared" si="10"/>
        <v>-</v>
      </c>
      <c r="AC70" s="16"/>
      <c r="AD70" s="36" t="str">
        <f>IF(C70="","-", (VLOOKUP(C70, 'Attendance Sheet'!$C$7:$F$62,4,FALSE)))</f>
        <v>-</v>
      </c>
      <c r="AE70" s="18"/>
      <c r="AF70" s="89" t="str">
        <f>PRELIM!AF70</f>
        <v>-</v>
      </c>
      <c r="AG70" s="89" t="str">
        <f>MIDTERM!AG70</f>
        <v>-</v>
      </c>
      <c r="AH70" s="149" t="str">
        <f>IF(AB70 = "INC",
 "INC",
 IF(
  AB70 = "-",
  "-",
  VLOOKUP(AB70,'Grade Config'!$C$6:$D$37,2)
 )
)</f>
        <v>-</v>
      </c>
      <c r="AI70" s="153" t="str">
        <f t="shared" si="11"/>
        <v>-</v>
      </c>
      <c r="AJ70" s="156"/>
      <c r="AK70" s="14"/>
    </row>
    <row r="71" spans="2:37" ht="15.6" customHeight="1" thickBot="1">
      <c r="B71" s="65">
        <v>55</v>
      </c>
      <c r="C71" s="59" t="str">
        <f>IF('Attendance Sheet'!C62 = "", "", 'Attendance Sheet'!C62)</f>
        <v/>
      </c>
      <c r="D71" s="59" t="str">
        <f>IF('Attendance Sheet'!D62 = "", "", 'Attendance Sheet'!D62)</f>
        <v/>
      </c>
      <c r="E71" s="62" t="str">
        <f>IF('Attendance Sheet'!E62 = "", "", 'Attendance Sheet'!E62)</f>
        <v/>
      </c>
      <c r="F71" s="19"/>
      <c r="G71" s="35"/>
      <c r="H71" s="66" t="str">
        <f t="shared" si="0"/>
        <v>-</v>
      </c>
      <c r="I71" s="42"/>
      <c r="J71" s="66" t="str">
        <f t="shared" si="1"/>
        <v>-</v>
      </c>
      <c r="K71" s="42"/>
      <c r="L71" s="66" t="str">
        <f t="shared" si="2"/>
        <v>-</v>
      </c>
      <c r="M71" s="42"/>
      <c r="N71" s="66" t="str">
        <f t="shared" si="3"/>
        <v>-</v>
      </c>
      <c r="O71" s="42"/>
      <c r="P71" s="66" t="str">
        <f t="shared" si="4"/>
        <v>-</v>
      </c>
      <c r="Q71" s="42"/>
      <c r="R71" s="66" t="str">
        <f t="shared" si="5"/>
        <v>-</v>
      </c>
      <c r="S71" s="42"/>
      <c r="T71" s="66" t="str">
        <f t="shared" si="6"/>
        <v>-</v>
      </c>
      <c r="U71" s="42"/>
      <c r="V71" s="66" t="str">
        <f t="shared" si="7"/>
        <v>-</v>
      </c>
      <c r="W71" s="42"/>
      <c r="X71" s="66" t="str">
        <f t="shared" si="8"/>
        <v>-</v>
      </c>
      <c r="Y71" s="42"/>
      <c r="Z71" s="67" t="str">
        <f t="shared" si="9"/>
        <v>-</v>
      </c>
      <c r="AA71" s="13"/>
      <c r="AB71" s="83" t="str">
        <f t="shared" si="10"/>
        <v>-</v>
      </c>
      <c r="AC71" s="16"/>
      <c r="AD71" s="37" t="str">
        <f>IF(C71="","-", (VLOOKUP(C71, 'Attendance Sheet'!$C$7:$F$62,4,FALSE)))</f>
        <v>-</v>
      </c>
      <c r="AE71" s="18"/>
      <c r="AF71" s="88" t="str">
        <f>PRELIM!AF71</f>
        <v>-</v>
      </c>
      <c r="AG71" s="88" t="str">
        <f>MIDTERM!AG71</f>
        <v>-</v>
      </c>
      <c r="AH71" s="148" t="str">
        <f>IF(AB71 = "INC",
 "INC",
 IF(
  AB71 = "-",
  "-",
  VLOOKUP(AB71,'Grade Config'!$C$6:$D$37,2)
 )
)</f>
        <v>-</v>
      </c>
      <c r="AI71" s="152" t="str">
        <f t="shared" si="11"/>
        <v>-</v>
      </c>
      <c r="AJ71" s="157"/>
      <c r="AK71" s="14"/>
    </row>
    <row r="72" spans="2:37" ht="14.4" customHeight="1" thickTop="1">
      <c r="B72" s="258" t="s">
        <v>18</v>
      </c>
      <c r="C72" s="259"/>
      <c r="D72" s="259"/>
      <c r="E72" s="260"/>
      <c r="F72" s="313"/>
      <c r="G72" s="321"/>
      <c r="H72" s="267"/>
      <c r="I72" s="270"/>
      <c r="J72" s="267"/>
      <c r="K72" s="270"/>
      <c r="L72" s="267"/>
      <c r="M72" s="270"/>
      <c r="N72" s="267"/>
      <c r="O72" s="270"/>
      <c r="P72" s="267"/>
      <c r="Q72" s="270"/>
      <c r="R72" s="267"/>
      <c r="S72" s="270"/>
      <c r="T72" s="267"/>
      <c r="U72" s="270"/>
      <c r="V72" s="267"/>
      <c r="W72" s="270"/>
      <c r="X72" s="267"/>
      <c r="Y72" s="270"/>
      <c r="Z72" s="282"/>
      <c r="AA72" s="314"/>
      <c r="AB72" s="273"/>
      <c r="AC72" s="315"/>
      <c r="AD72" s="276"/>
      <c r="AE72" s="316"/>
      <c r="AF72" s="358"/>
      <c r="AG72" s="78"/>
      <c r="AH72" s="382"/>
      <c r="AI72" s="377"/>
      <c r="AJ72" s="390"/>
      <c r="AK72" s="14"/>
    </row>
    <row r="73" spans="2:37" ht="14.4" customHeight="1">
      <c r="B73" s="261"/>
      <c r="C73" s="262"/>
      <c r="D73" s="262"/>
      <c r="E73" s="263"/>
      <c r="F73" s="313"/>
      <c r="G73" s="322"/>
      <c r="H73" s="268"/>
      <c r="I73" s="271"/>
      <c r="J73" s="268"/>
      <c r="K73" s="271"/>
      <c r="L73" s="268"/>
      <c r="M73" s="271"/>
      <c r="N73" s="268"/>
      <c r="O73" s="271"/>
      <c r="P73" s="268"/>
      <c r="Q73" s="271"/>
      <c r="R73" s="268"/>
      <c r="S73" s="271"/>
      <c r="T73" s="268"/>
      <c r="U73" s="271"/>
      <c r="V73" s="268"/>
      <c r="W73" s="271"/>
      <c r="X73" s="268"/>
      <c r="Y73" s="271"/>
      <c r="Z73" s="283"/>
      <c r="AA73" s="314"/>
      <c r="AB73" s="274"/>
      <c r="AC73" s="315"/>
      <c r="AD73" s="277"/>
      <c r="AE73" s="316"/>
      <c r="AF73" s="385"/>
      <c r="AG73" s="94"/>
      <c r="AH73" s="383"/>
      <c r="AI73" s="378"/>
      <c r="AJ73" s="391"/>
      <c r="AK73" s="14"/>
    </row>
    <row r="74" spans="2:37" ht="14.4" customHeight="1">
      <c r="B74" s="261"/>
      <c r="C74" s="262"/>
      <c r="D74" s="262"/>
      <c r="E74" s="263"/>
      <c r="F74" s="313"/>
      <c r="G74" s="322"/>
      <c r="H74" s="268"/>
      <c r="I74" s="271"/>
      <c r="J74" s="268"/>
      <c r="K74" s="271"/>
      <c r="L74" s="268"/>
      <c r="M74" s="271"/>
      <c r="N74" s="268"/>
      <c r="O74" s="271"/>
      <c r="P74" s="268"/>
      <c r="Q74" s="271"/>
      <c r="R74" s="268"/>
      <c r="S74" s="271"/>
      <c r="T74" s="268"/>
      <c r="U74" s="271"/>
      <c r="V74" s="268"/>
      <c r="W74" s="271"/>
      <c r="X74" s="268"/>
      <c r="Y74" s="271"/>
      <c r="Z74" s="283"/>
      <c r="AA74" s="314"/>
      <c r="AB74" s="274"/>
      <c r="AC74" s="315"/>
      <c r="AD74" s="277"/>
      <c r="AE74" s="316"/>
      <c r="AF74" s="385"/>
      <c r="AG74" s="94"/>
      <c r="AH74" s="383"/>
      <c r="AI74" s="378"/>
      <c r="AJ74" s="391"/>
      <c r="AK74" s="14"/>
    </row>
    <row r="75" spans="2:37" ht="14.4" customHeight="1">
      <c r="B75" s="261"/>
      <c r="C75" s="262"/>
      <c r="D75" s="262"/>
      <c r="E75" s="263"/>
      <c r="F75" s="313"/>
      <c r="G75" s="322"/>
      <c r="H75" s="268"/>
      <c r="I75" s="271"/>
      <c r="J75" s="268"/>
      <c r="K75" s="271"/>
      <c r="L75" s="268"/>
      <c r="M75" s="271"/>
      <c r="N75" s="268"/>
      <c r="O75" s="271"/>
      <c r="P75" s="268"/>
      <c r="Q75" s="271"/>
      <c r="R75" s="268"/>
      <c r="S75" s="271"/>
      <c r="T75" s="268"/>
      <c r="U75" s="271"/>
      <c r="V75" s="268"/>
      <c r="W75" s="271"/>
      <c r="X75" s="268"/>
      <c r="Y75" s="271"/>
      <c r="Z75" s="283"/>
      <c r="AA75" s="314"/>
      <c r="AB75" s="274"/>
      <c r="AC75" s="315"/>
      <c r="AD75" s="277"/>
      <c r="AE75" s="316"/>
      <c r="AF75" s="385"/>
      <c r="AG75" s="94"/>
      <c r="AH75" s="383"/>
      <c r="AI75" s="378"/>
      <c r="AJ75" s="391"/>
      <c r="AK75" s="14"/>
    </row>
    <row r="76" spans="2:37" ht="14.4" customHeight="1">
      <c r="B76" s="261"/>
      <c r="C76" s="262"/>
      <c r="D76" s="262"/>
      <c r="E76" s="263"/>
      <c r="F76" s="313"/>
      <c r="G76" s="322"/>
      <c r="H76" s="268"/>
      <c r="I76" s="271"/>
      <c r="J76" s="268"/>
      <c r="K76" s="271"/>
      <c r="L76" s="268"/>
      <c r="M76" s="271"/>
      <c r="N76" s="268"/>
      <c r="O76" s="271"/>
      <c r="P76" s="268"/>
      <c r="Q76" s="271"/>
      <c r="R76" s="268"/>
      <c r="S76" s="271"/>
      <c r="T76" s="268"/>
      <c r="U76" s="271"/>
      <c r="V76" s="268"/>
      <c r="W76" s="271"/>
      <c r="X76" s="268"/>
      <c r="Y76" s="271"/>
      <c r="Z76" s="283"/>
      <c r="AA76" s="314"/>
      <c r="AB76" s="274"/>
      <c r="AC76" s="315"/>
      <c r="AD76" s="277"/>
      <c r="AE76" s="316"/>
      <c r="AF76" s="385"/>
      <c r="AG76" s="94"/>
      <c r="AH76" s="383"/>
      <c r="AI76" s="378"/>
      <c r="AJ76" s="391"/>
      <c r="AK76" s="14"/>
    </row>
    <row r="77" spans="2:37" ht="14.4" customHeight="1" thickBot="1">
      <c r="B77" s="264"/>
      <c r="C77" s="265"/>
      <c r="D77" s="265"/>
      <c r="E77" s="266"/>
      <c r="F77" s="313"/>
      <c r="G77" s="323"/>
      <c r="H77" s="269"/>
      <c r="I77" s="272"/>
      <c r="J77" s="269"/>
      <c r="K77" s="272"/>
      <c r="L77" s="269"/>
      <c r="M77" s="272"/>
      <c r="N77" s="269"/>
      <c r="O77" s="272"/>
      <c r="P77" s="269"/>
      <c r="Q77" s="272"/>
      <c r="R77" s="269"/>
      <c r="S77" s="272"/>
      <c r="T77" s="269"/>
      <c r="U77" s="272"/>
      <c r="V77" s="269"/>
      <c r="W77" s="272"/>
      <c r="X77" s="269"/>
      <c r="Y77" s="272"/>
      <c r="Z77" s="284"/>
      <c r="AA77" s="314"/>
      <c r="AB77" s="275"/>
      <c r="AC77" s="315"/>
      <c r="AD77" s="278"/>
      <c r="AE77" s="316"/>
      <c r="AF77" s="386"/>
      <c r="AG77" s="95"/>
      <c r="AH77" s="384"/>
      <c r="AI77" s="379"/>
      <c r="AJ77" s="392"/>
      <c r="AK77" s="14"/>
    </row>
    <row r="78" spans="2:37" ht="14.4" customHeight="1" thickTop="1">
      <c r="B78" s="194" t="s">
        <v>92</v>
      </c>
      <c r="C78" s="194"/>
      <c r="D78" s="194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4"/>
    </row>
    <row r="79" spans="2:37" ht="14.4" customHeight="1">
      <c r="B79" s="14"/>
      <c r="C79" s="29" t="s">
        <v>19</v>
      </c>
      <c r="D79" s="29"/>
      <c r="E79" s="29"/>
      <c r="F79" s="22"/>
      <c r="H79" s="22"/>
      <c r="J79" s="22"/>
      <c r="K79" s="10"/>
      <c r="L79" s="10"/>
      <c r="M79" s="257" t="s">
        <v>20</v>
      </c>
      <c r="N79" s="257"/>
      <c r="O79" s="257"/>
      <c r="P79" s="257"/>
      <c r="R79" s="31"/>
      <c r="S79" s="32"/>
      <c r="T79" s="32"/>
      <c r="U79" s="14"/>
      <c r="V79" s="14"/>
      <c r="W79" s="14"/>
      <c r="X79" s="14"/>
      <c r="Y79" s="14"/>
      <c r="Z79" s="14"/>
      <c r="AA79" s="14"/>
      <c r="AB79" s="14"/>
      <c r="AC79" s="14"/>
      <c r="AD79" s="14"/>
    </row>
    <row r="80" spans="2:37" ht="14.4" customHeight="1">
      <c r="B80" s="14"/>
      <c r="C80" s="29"/>
      <c r="D80" s="29"/>
      <c r="E80" s="29"/>
      <c r="F80" s="22"/>
      <c r="H80" s="22"/>
      <c r="J80" s="22"/>
      <c r="K80" s="10"/>
      <c r="L80" s="10"/>
      <c r="M80" s="30"/>
      <c r="N80" s="30"/>
      <c r="O80" s="30"/>
      <c r="P80" s="30"/>
      <c r="R80" s="31"/>
      <c r="S80" s="32"/>
      <c r="T80" s="32"/>
      <c r="U80" s="14"/>
      <c r="V80" s="14"/>
      <c r="W80" s="14"/>
      <c r="X80" s="14"/>
      <c r="Y80" s="14"/>
      <c r="Z80" s="14"/>
      <c r="AA80" s="14"/>
      <c r="AB80" s="14"/>
      <c r="AC80" s="14"/>
      <c r="AD80" s="14"/>
    </row>
    <row r="81" spans="2:30" ht="14.4" customHeight="1">
      <c r="B81" s="14"/>
      <c r="C81"/>
      <c r="D81"/>
      <c r="E81"/>
      <c r="F81" s="22"/>
      <c r="H81" s="22"/>
      <c r="J81" s="22"/>
      <c r="K81" s="10"/>
      <c r="L81" s="10"/>
      <c r="N81" s="22"/>
      <c r="P81" s="22"/>
      <c r="R81" s="31"/>
      <c r="S81" s="32"/>
      <c r="T81" s="32"/>
      <c r="U81" s="14"/>
      <c r="V81" s="14"/>
      <c r="W81" s="14"/>
      <c r="X81" s="14"/>
      <c r="Y81" s="14"/>
      <c r="Z81" s="14"/>
      <c r="AA81" s="14"/>
      <c r="AB81" s="14"/>
      <c r="AC81" s="14"/>
      <c r="AD81" s="14"/>
    </row>
    <row r="82" spans="2:30" ht="14.4" customHeight="1">
      <c r="B82" s="14"/>
      <c r="C82" s="370" t="str">
        <f>PRELIM!C82</f>
        <v>Write your Name Here</v>
      </c>
      <c r="D82" s="370"/>
      <c r="E82" s="370"/>
      <c r="F82" s="22"/>
      <c r="G82" s="14"/>
      <c r="H82" s="22"/>
      <c r="J82" s="22"/>
      <c r="K82" s="10"/>
      <c r="L82" s="10"/>
      <c r="M82" s="370" t="str">
        <f>PRELIM!M82</f>
        <v>Write the current chair here</v>
      </c>
      <c r="N82" s="370"/>
      <c r="O82" s="370"/>
      <c r="P82" s="370"/>
      <c r="Q82" s="370"/>
      <c r="R82" s="370"/>
      <c r="S82" s="32"/>
      <c r="T82" s="32"/>
      <c r="U82" s="14"/>
      <c r="V82" s="14"/>
      <c r="W82" s="14"/>
      <c r="X82" s="14"/>
      <c r="Y82" s="14"/>
      <c r="Z82" s="14"/>
      <c r="AA82" s="14"/>
      <c r="AB82" s="14"/>
      <c r="AC82" s="14"/>
      <c r="AD82" s="14"/>
    </row>
    <row r="83" spans="2:30" ht="3" customHeight="1" thickBot="1">
      <c r="B83" s="14"/>
      <c r="C83"/>
      <c r="D83"/>
      <c r="E83"/>
      <c r="F83" s="22"/>
      <c r="G83" s="14"/>
      <c r="H83" s="22"/>
      <c r="J83" s="22"/>
      <c r="K83" s="10"/>
      <c r="L83" s="10"/>
      <c r="M83" s="21"/>
      <c r="N83" s="21"/>
      <c r="O83" s="21"/>
      <c r="P83" s="21"/>
      <c r="Q83" s="21"/>
      <c r="R83" s="21"/>
      <c r="S83" s="32"/>
      <c r="T83" s="32"/>
      <c r="U83" s="14"/>
      <c r="V83" s="14"/>
      <c r="W83" s="14"/>
      <c r="X83" s="14"/>
      <c r="Y83" s="14"/>
      <c r="Z83" s="14"/>
      <c r="AA83" s="14"/>
      <c r="AB83" s="14"/>
      <c r="AC83" s="14"/>
      <c r="AD83" s="14"/>
    </row>
    <row r="84" spans="2:30" ht="14.4" customHeight="1">
      <c r="B84" s="14"/>
      <c r="C84" s="255" t="s">
        <v>21</v>
      </c>
      <c r="D84" s="255"/>
      <c r="E84" s="255"/>
      <c r="F84" s="22"/>
      <c r="G84" s="14"/>
      <c r="H84" s="22"/>
      <c r="J84" s="22"/>
      <c r="K84" s="10"/>
      <c r="L84" s="10"/>
      <c r="M84" s="255" t="s">
        <v>22</v>
      </c>
      <c r="N84" s="255"/>
      <c r="O84" s="255"/>
      <c r="P84" s="255"/>
      <c r="Q84" s="255"/>
      <c r="R84" s="255"/>
      <c r="S84" s="32"/>
      <c r="T84" s="32"/>
      <c r="U84" s="14"/>
      <c r="V84" s="14"/>
      <c r="W84" s="14"/>
      <c r="X84" s="14"/>
      <c r="Y84" s="14"/>
      <c r="Z84" s="14"/>
      <c r="AA84" s="14"/>
      <c r="AB84" s="14"/>
      <c r="AC84" s="14"/>
      <c r="AD84" s="14"/>
    </row>
    <row r="85" spans="2:30" ht="14.4" customHeight="1">
      <c r="B85" s="14"/>
      <c r="C85" s="70"/>
      <c r="D85" s="70"/>
      <c r="E85" s="70"/>
      <c r="F85" s="22"/>
      <c r="G85" s="14"/>
      <c r="H85" s="22"/>
      <c r="J85" s="22"/>
      <c r="K85" s="10"/>
      <c r="L85" s="10"/>
      <c r="M85" s="70"/>
      <c r="N85" s="70"/>
      <c r="O85" s="70"/>
      <c r="P85" s="70"/>
      <c r="Q85" s="70"/>
      <c r="R85" s="70"/>
      <c r="S85" s="32"/>
      <c r="T85" s="32"/>
      <c r="U85" s="14"/>
      <c r="V85" s="14"/>
      <c r="W85" s="14"/>
      <c r="X85" s="14"/>
      <c r="Y85" s="14"/>
      <c r="Z85" s="14"/>
      <c r="AA85" s="14"/>
      <c r="AB85" s="14"/>
      <c r="AC85" s="14"/>
      <c r="AD85" s="14"/>
    </row>
    <row r="86" spans="2:30" ht="14.4" customHeight="1">
      <c r="B86" s="14"/>
      <c r="C86"/>
      <c r="D86"/>
      <c r="E86"/>
      <c r="F86" s="22"/>
      <c r="G86" s="14"/>
      <c r="H86" s="22"/>
      <c r="J86" s="22"/>
      <c r="K86" s="10"/>
      <c r="L86" s="10"/>
      <c r="N86" s="22"/>
      <c r="P86" s="22"/>
      <c r="R86" s="31"/>
      <c r="S86" s="32"/>
      <c r="T86" s="32"/>
      <c r="U86" s="14"/>
      <c r="V86" s="14"/>
      <c r="W86" s="14"/>
      <c r="X86" s="14"/>
      <c r="Y86" s="14"/>
      <c r="Z86" s="14"/>
      <c r="AA86" s="14"/>
      <c r="AB86" s="14"/>
      <c r="AC86" s="14"/>
      <c r="AD86" s="14"/>
    </row>
    <row r="87" spans="2:30" ht="14.4" customHeight="1">
      <c r="B87" s="14"/>
      <c r="C87"/>
      <c r="D87"/>
      <c r="E87"/>
      <c r="F87" s="22"/>
      <c r="G87" s="14"/>
      <c r="H87" s="22"/>
      <c r="J87" s="22"/>
      <c r="K87" s="10"/>
      <c r="L87" s="10"/>
      <c r="M87" s="370" t="str">
        <f>PRELIM!M87</f>
        <v>Write the current Dean here</v>
      </c>
      <c r="N87" s="370"/>
      <c r="O87" s="370"/>
      <c r="P87" s="370"/>
      <c r="Q87" s="370"/>
      <c r="R87" s="370"/>
      <c r="S87" s="32"/>
      <c r="T87" s="32"/>
      <c r="U87" s="14"/>
      <c r="V87" s="14"/>
      <c r="W87" s="14"/>
      <c r="X87" s="14"/>
      <c r="Y87" s="14"/>
      <c r="Z87" s="14"/>
      <c r="AA87" s="14"/>
      <c r="AB87" s="14"/>
      <c r="AC87" s="14"/>
      <c r="AD87" s="14"/>
    </row>
    <row r="88" spans="2:30" ht="3" customHeight="1" thickBot="1">
      <c r="B88" s="14"/>
      <c r="C88"/>
      <c r="D88"/>
      <c r="E88"/>
      <c r="F88" s="22"/>
      <c r="G88" s="14"/>
      <c r="H88" s="22"/>
      <c r="J88" s="22"/>
      <c r="K88" s="10"/>
      <c r="L88" s="10"/>
      <c r="M88" s="21"/>
      <c r="N88" s="21"/>
      <c r="O88" s="21"/>
      <c r="P88" s="21"/>
      <c r="Q88" s="21"/>
      <c r="R88" s="21"/>
      <c r="S88" s="32"/>
      <c r="T88" s="32"/>
      <c r="U88" s="14"/>
      <c r="V88" s="14"/>
      <c r="W88" s="14"/>
      <c r="X88" s="14"/>
      <c r="Y88" s="14"/>
      <c r="Z88" s="14"/>
      <c r="AA88" s="14"/>
      <c r="AB88" s="14"/>
      <c r="AC88" s="14"/>
      <c r="AD88" s="14"/>
    </row>
    <row r="89" spans="2:30" ht="14.4" customHeight="1">
      <c r="B89" s="14"/>
      <c r="C89"/>
      <c r="D89"/>
      <c r="E89"/>
      <c r="F89" s="22"/>
      <c r="G89" s="14"/>
      <c r="H89" s="22"/>
      <c r="J89" s="22"/>
      <c r="K89" s="10"/>
      <c r="L89" s="10"/>
      <c r="M89" s="255" t="s">
        <v>23</v>
      </c>
      <c r="N89" s="255"/>
      <c r="O89" s="255"/>
      <c r="P89" s="255"/>
      <c r="Q89" s="255"/>
      <c r="R89" s="255"/>
      <c r="S89" s="32"/>
      <c r="T89" s="32"/>
      <c r="U89" s="14"/>
      <c r="V89" s="14"/>
      <c r="W89" s="14"/>
      <c r="X89" s="14"/>
      <c r="Y89" s="14"/>
      <c r="Z89" s="14"/>
      <c r="AA89" s="14"/>
      <c r="AB89" s="14"/>
      <c r="AC89" s="14"/>
      <c r="AD89" s="14"/>
    </row>
  </sheetData>
  <sheetProtection algorithmName="SHA-512" hashValue="7Zy30bFGJ87bxL/HAGk3CvXzLIWADLl7Pirvb4yWKIKmKzlA2j3e4e+ne/z/wPalAzkBEUJdd7rJQlYlZozIMQ==" saltValue="J143YHAsZ+7STxS8de/fug==" spinCount="100000" sheet="1" objects="1" scenarios="1"/>
  <protectedRanges>
    <protectedRange sqref="E10:F10" name="RangeChkBox_BalanceWeight"/>
    <protectedRange sqref="K16:K77" name="RangeO3"/>
    <protectedRange sqref="I16:I77" name="RangeO2"/>
    <protectedRange sqref="G16:G77" name="RangeO1"/>
    <protectedRange sqref="M16:M77" name="RangeO4"/>
    <protectedRange sqref="O16:O77" name="RangeO5"/>
    <protectedRange sqref="Q16:Q77" name="RangeO6"/>
    <protectedRange sqref="S16:S77" name="RangeO7"/>
    <protectedRange sqref="U16:U77" name="RangeO8"/>
    <protectedRange sqref="W16:W77" name="RangeO9"/>
    <protectedRange sqref="Y16:Y77" name="RangeO10"/>
    <protectedRange sqref="G72:Z77 AB72 AD72 AF72:AJ77 AJ16:AJ71" name="RangeRemarks"/>
    <protectedRange sqref="E11:F11" name="RangeChkBox_HideShowNoData"/>
    <protectedRange sqref="E12:F12" name="RangeChkbox_HideShowBottomRemarks"/>
  </protectedRanges>
  <mergeCells count="97">
    <mergeCell ref="AJ9:AJ15"/>
    <mergeCell ref="AJ72:AJ77"/>
    <mergeCell ref="Z72:Z77"/>
    <mergeCell ref="AA72:AA77"/>
    <mergeCell ref="AB72:AB77"/>
    <mergeCell ref="AC72:AC77"/>
    <mergeCell ref="AD72:AD77"/>
    <mergeCell ref="C84:E84"/>
    <mergeCell ref="M84:R84"/>
    <mergeCell ref="M87:R87"/>
    <mergeCell ref="M89:R89"/>
    <mergeCell ref="AI9:AI15"/>
    <mergeCell ref="AI72:AI77"/>
    <mergeCell ref="AH9:AH15"/>
    <mergeCell ref="AH72:AH77"/>
    <mergeCell ref="AG9:AG15"/>
    <mergeCell ref="AE72:AE77"/>
    <mergeCell ref="AF72:AF77"/>
    <mergeCell ref="B78:AJ78"/>
    <mergeCell ref="M79:P79"/>
    <mergeCell ref="C82:E82"/>
    <mergeCell ref="M82:R82"/>
    <mergeCell ref="Y72:Y77"/>
    <mergeCell ref="X72:X77"/>
    <mergeCell ref="M72:M77"/>
    <mergeCell ref="N72:N77"/>
    <mergeCell ref="O72:O77"/>
    <mergeCell ref="P72:P77"/>
    <mergeCell ref="Q72:Q77"/>
    <mergeCell ref="R72:R77"/>
    <mergeCell ref="S72:S77"/>
    <mergeCell ref="T72:T77"/>
    <mergeCell ref="U72:U77"/>
    <mergeCell ref="J72:J77"/>
    <mergeCell ref="K72:K77"/>
    <mergeCell ref="L72:L77"/>
    <mergeCell ref="V72:V77"/>
    <mergeCell ref="W72:W77"/>
    <mergeCell ref="B72:E77"/>
    <mergeCell ref="F72:F77"/>
    <mergeCell ref="G72:G77"/>
    <mergeCell ref="H72:H77"/>
    <mergeCell ref="I72:I77"/>
    <mergeCell ref="B12:D12"/>
    <mergeCell ref="B14:B15"/>
    <mergeCell ref="C14:C15"/>
    <mergeCell ref="D14:D15"/>
    <mergeCell ref="E14:E15"/>
    <mergeCell ref="T10:T15"/>
    <mergeCell ref="V10:V15"/>
    <mergeCell ref="U11:U14"/>
    <mergeCell ref="W11:W14"/>
    <mergeCell ref="Y11:Y14"/>
    <mergeCell ref="X10:X15"/>
    <mergeCell ref="J10:J15"/>
    <mergeCell ref="L10:L15"/>
    <mergeCell ref="N10:N15"/>
    <mergeCell ref="P10:P15"/>
    <mergeCell ref="R10:R15"/>
    <mergeCell ref="B9:D9"/>
    <mergeCell ref="G9:Z9"/>
    <mergeCell ref="AB9:AB15"/>
    <mergeCell ref="AD9:AD15"/>
    <mergeCell ref="AF9:AF15"/>
    <mergeCell ref="Z10:Z15"/>
    <mergeCell ref="B11:D11"/>
    <mergeCell ref="G11:G14"/>
    <mergeCell ref="I11:I14"/>
    <mergeCell ref="K11:K14"/>
    <mergeCell ref="M11:M14"/>
    <mergeCell ref="O11:O14"/>
    <mergeCell ref="Q11:Q14"/>
    <mergeCell ref="S11:S14"/>
    <mergeCell ref="B10:D10"/>
    <mergeCell ref="H10:H15"/>
    <mergeCell ref="B1:AJ1"/>
    <mergeCell ref="B2:F7"/>
    <mergeCell ref="G2:AJ2"/>
    <mergeCell ref="G3:AJ3"/>
    <mergeCell ref="G4:I4"/>
    <mergeCell ref="J4:O4"/>
    <mergeCell ref="P4:X6"/>
    <mergeCell ref="Y4:AA4"/>
    <mergeCell ref="AB4:AJ4"/>
    <mergeCell ref="G5:I5"/>
    <mergeCell ref="G7:I7"/>
    <mergeCell ref="J7:O7"/>
    <mergeCell ref="P7:X7"/>
    <mergeCell ref="Y7:AA7"/>
    <mergeCell ref="AB7:AJ7"/>
    <mergeCell ref="J5:O5"/>
    <mergeCell ref="Y5:AA5"/>
    <mergeCell ref="AB5:AJ5"/>
    <mergeCell ref="G6:I6"/>
    <mergeCell ref="J6:O6"/>
    <mergeCell ref="Y6:AA6"/>
    <mergeCell ref="AB6:AJ6"/>
  </mergeCells>
  <conditionalFormatting sqref="G15 I15 K15 M15 O15 Q15 S15 U15 W15 Y15">
    <cfRule type="expression" dxfId="0" priority="1">
      <formula>SUM($G$15,$I$15,$K$15,$M$15,$O$15,$Q$15,$S$15,$U$15,$W$15,$Y$15) &lt;&gt; 1</formula>
    </cfRule>
  </conditionalFormatting>
  <pageMargins left="0.7" right="0.7" top="0.75" bottom="0.75" header="0.3" footer="0.3"/>
  <pageSetup scale="40" orientation="landscape" horizontalDpi="1200" verticalDpi="1200" r:id="rId1"/>
  <ignoredErrors>
    <ignoredError sqref="M87 M82 C82" unlockedFormula="1"/>
  </ignoredErrors>
  <drawing r:id="rId2"/>
  <legacyDrawing r:id="rId3"/>
  <controls>
    <mc:AlternateContent xmlns:mc="http://schemas.openxmlformats.org/markup-compatibility/2006">
      <mc:Choice Requires="x14">
        <control shapeId="37892" r:id="rId4" name="CheckBox3">
          <controlPr locked="0" defaultSize="0" autoLine="0" linkedCell="F12" r:id="rId5">
            <anchor moveWithCells="1">
              <from>
                <xdr:col>4</xdr:col>
                <xdr:colOff>342900</xdr:colOff>
                <xdr:row>11</xdr:row>
                <xdr:rowOff>15240</xdr:rowOff>
              </from>
              <to>
                <xdr:col>4</xdr:col>
                <xdr:colOff>502920</xdr:colOff>
                <xdr:row>11</xdr:row>
                <xdr:rowOff>175260</xdr:rowOff>
              </to>
            </anchor>
          </controlPr>
        </control>
      </mc:Choice>
      <mc:Fallback>
        <control shapeId="37892" r:id="rId4" name="CheckBox3"/>
      </mc:Fallback>
    </mc:AlternateContent>
    <mc:AlternateContent xmlns:mc="http://schemas.openxmlformats.org/markup-compatibility/2006">
      <mc:Choice Requires="x14">
        <control shapeId="37891" r:id="rId6" name="CheckBox2">
          <controlPr locked="0" defaultSize="0" autoLine="0" linkedCell="F11" r:id="rId7">
            <anchor moveWithCells="1">
              <from>
                <xdr:col>4</xdr:col>
                <xdr:colOff>342900</xdr:colOff>
                <xdr:row>10</xdr:row>
                <xdr:rowOff>22860</xdr:rowOff>
              </from>
              <to>
                <xdr:col>4</xdr:col>
                <xdr:colOff>502920</xdr:colOff>
                <xdr:row>10</xdr:row>
                <xdr:rowOff>175260</xdr:rowOff>
              </to>
            </anchor>
          </controlPr>
        </control>
      </mc:Choice>
      <mc:Fallback>
        <control shapeId="37891" r:id="rId6" name="CheckBox2"/>
      </mc:Fallback>
    </mc:AlternateContent>
    <mc:AlternateContent xmlns:mc="http://schemas.openxmlformats.org/markup-compatibility/2006">
      <mc:Choice Requires="x14">
        <control shapeId="37889" r:id="rId8" name="CheckBox1">
          <controlPr locked="0" defaultSize="0" autoLine="0" linkedCell="F10" r:id="rId7">
            <anchor moveWithCells="1">
              <from>
                <xdr:col>4</xdr:col>
                <xdr:colOff>342900</xdr:colOff>
                <xdr:row>9</xdr:row>
                <xdr:rowOff>7620</xdr:rowOff>
              </from>
              <to>
                <xdr:col>4</xdr:col>
                <xdr:colOff>502920</xdr:colOff>
                <xdr:row>9</xdr:row>
                <xdr:rowOff>160020</xdr:rowOff>
              </to>
            </anchor>
          </controlPr>
        </control>
      </mc:Choice>
      <mc:Fallback>
        <control shapeId="37889" r:id="rId8" name="CheckBox1"/>
      </mc:Fallback>
    </mc:AlternateContent>
    <mc:AlternateContent xmlns:mc="http://schemas.openxmlformats.org/markup-compatibility/2006">
      <mc:Choice Requires="x14">
        <control shapeId="37890" r:id="rId9" name="Button 2">
          <controlPr defaultSize="0" print="0" autoFill="0" autoPict="0" macro="[0]!ExportSheetToPDF">
            <anchor moveWithCells="1">
              <from>
                <xdr:col>6</xdr:col>
                <xdr:colOff>91440</xdr:colOff>
                <xdr:row>8</xdr:row>
                <xdr:rowOff>30480</xdr:rowOff>
              </from>
              <to>
                <xdr:col>9</xdr:col>
                <xdr:colOff>144780</xdr:colOff>
                <xdr:row>8</xdr:row>
                <xdr:rowOff>213360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A62A2-B91B-4369-AE9B-227621F1F565}">
  <sheetPr codeName="Sheet1"/>
  <dimension ref="B2:G38"/>
  <sheetViews>
    <sheetView workbookViewId="0">
      <selection activeCell="K25" sqref="K25"/>
    </sheetView>
  </sheetViews>
  <sheetFormatPr defaultRowHeight="14.4"/>
  <cols>
    <col min="2" max="2" width="11.33203125" style="2" customWidth="1"/>
    <col min="3" max="4" width="10.109375" style="2" customWidth="1"/>
    <col min="5" max="5" width="11.33203125" style="2" customWidth="1"/>
    <col min="6" max="12" width="9.109375"/>
  </cols>
  <sheetData>
    <row r="2" spans="2:7" ht="27" customHeight="1" thickBot="1">
      <c r="B2" s="395" t="s">
        <v>61</v>
      </c>
      <c r="C2" s="395"/>
      <c r="D2" s="395"/>
      <c r="E2" s="395"/>
      <c r="F2" s="1"/>
      <c r="G2" s="1"/>
    </row>
    <row r="3" spans="2:7" ht="15" thickTop="1">
      <c r="B3" s="3"/>
      <c r="C3" s="393" t="s">
        <v>28</v>
      </c>
      <c r="D3" s="393"/>
      <c r="E3" s="3"/>
    </row>
    <row r="4" spans="2:7" ht="15" thickBot="1">
      <c r="B4" s="3"/>
      <c r="C4" s="394"/>
      <c r="D4" s="394"/>
      <c r="E4" s="3"/>
    </row>
    <row r="5" spans="2:7" ht="15.6" thickTop="1" thickBot="1">
      <c r="B5" s="3"/>
      <c r="C5" s="4" t="s">
        <v>29</v>
      </c>
      <c r="D5" s="7" t="s">
        <v>30</v>
      </c>
      <c r="E5" s="3"/>
    </row>
    <row r="6" spans="2:7">
      <c r="B6" s="3"/>
      <c r="C6" s="5">
        <v>0</v>
      </c>
      <c r="D6" s="8">
        <v>4</v>
      </c>
      <c r="E6" s="3"/>
    </row>
    <row r="7" spans="2:7">
      <c r="B7" s="3"/>
      <c r="C7" s="5">
        <v>6</v>
      </c>
      <c r="D7" s="8">
        <v>3.9</v>
      </c>
      <c r="E7" s="3"/>
    </row>
    <row r="8" spans="2:7">
      <c r="B8" s="3"/>
      <c r="C8" s="5">
        <v>12</v>
      </c>
      <c r="D8" s="8">
        <v>3.8</v>
      </c>
      <c r="E8" s="3"/>
    </row>
    <row r="9" spans="2:7">
      <c r="B9" s="3"/>
      <c r="C9" s="5">
        <v>18</v>
      </c>
      <c r="D9" s="8">
        <v>3.7</v>
      </c>
      <c r="E9" s="3"/>
    </row>
    <row r="10" spans="2:7">
      <c r="B10" s="3"/>
      <c r="C10" s="5">
        <v>24</v>
      </c>
      <c r="D10" s="8">
        <v>3.6</v>
      </c>
      <c r="E10" s="3"/>
    </row>
    <row r="11" spans="2:7">
      <c r="B11" s="3"/>
      <c r="C11" s="5">
        <v>30</v>
      </c>
      <c r="D11" s="8">
        <v>3.5</v>
      </c>
      <c r="E11" s="3"/>
    </row>
    <row r="12" spans="2:7">
      <c r="B12" s="3"/>
      <c r="C12" s="5">
        <v>36</v>
      </c>
      <c r="D12" s="8">
        <v>3.4</v>
      </c>
      <c r="E12" s="3"/>
    </row>
    <row r="13" spans="2:7">
      <c r="B13" s="3"/>
      <c r="C13" s="5">
        <v>42</v>
      </c>
      <c r="D13" s="8">
        <v>3.3</v>
      </c>
      <c r="E13" s="3"/>
    </row>
    <row r="14" spans="2:7">
      <c r="B14" s="3"/>
      <c r="C14" s="5">
        <v>48</v>
      </c>
      <c r="D14" s="8">
        <v>3.2</v>
      </c>
      <c r="E14" s="3"/>
    </row>
    <row r="15" spans="2:7">
      <c r="B15" s="3"/>
      <c r="C15" s="5">
        <v>54</v>
      </c>
      <c r="D15" s="8">
        <v>3.1</v>
      </c>
      <c r="E15" s="3"/>
    </row>
    <row r="16" spans="2:7">
      <c r="B16" s="3"/>
      <c r="C16" s="5">
        <v>60</v>
      </c>
      <c r="D16" s="8">
        <v>3</v>
      </c>
      <c r="E16" s="3"/>
    </row>
    <row r="17" spans="2:5">
      <c r="B17" s="3"/>
      <c r="C17" s="5">
        <v>61</v>
      </c>
      <c r="D17" s="8">
        <v>2.9</v>
      </c>
      <c r="E17" s="3"/>
    </row>
    <row r="18" spans="2:5">
      <c r="B18" s="3"/>
      <c r="C18" s="5">
        <v>63</v>
      </c>
      <c r="D18" s="8">
        <v>2.8</v>
      </c>
      <c r="E18" s="3"/>
    </row>
    <row r="19" spans="2:5">
      <c r="B19" s="3"/>
      <c r="C19" s="5">
        <v>65</v>
      </c>
      <c r="D19" s="8">
        <v>2.7</v>
      </c>
      <c r="E19" s="3"/>
    </row>
    <row r="20" spans="2:5">
      <c r="B20" s="3"/>
      <c r="C20" s="5">
        <v>67</v>
      </c>
      <c r="D20" s="8">
        <v>2.6</v>
      </c>
      <c r="E20" s="3"/>
    </row>
    <row r="21" spans="2:5">
      <c r="B21" s="3"/>
      <c r="C21" s="5">
        <v>69</v>
      </c>
      <c r="D21" s="8">
        <v>2.5</v>
      </c>
      <c r="E21" s="3"/>
    </row>
    <row r="22" spans="2:5">
      <c r="B22" s="3"/>
      <c r="C22" s="5">
        <v>71</v>
      </c>
      <c r="D22" s="8">
        <v>2.4</v>
      </c>
      <c r="E22" s="3"/>
    </row>
    <row r="23" spans="2:5">
      <c r="B23" s="3"/>
      <c r="C23" s="5">
        <v>73</v>
      </c>
      <c r="D23" s="8">
        <v>2.2999999999999998</v>
      </c>
      <c r="E23" s="3"/>
    </row>
    <row r="24" spans="2:5">
      <c r="B24" s="3"/>
      <c r="C24" s="5">
        <v>75</v>
      </c>
      <c r="D24" s="8">
        <v>2.2000000000000002</v>
      </c>
      <c r="E24" s="3"/>
    </row>
    <row r="25" spans="2:5">
      <c r="B25" s="3"/>
      <c r="C25" s="5">
        <v>77</v>
      </c>
      <c r="D25" s="8">
        <v>2.1</v>
      </c>
      <c r="E25" s="3"/>
    </row>
    <row r="26" spans="2:5">
      <c r="B26" s="3"/>
      <c r="C26" s="5">
        <v>79</v>
      </c>
      <c r="D26" s="8">
        <v>2</v>
      </c>
      <c r="E26" s="3"/>
    </row>
    <row r="27" spans="2:5">
      <c r="B27" s="3"/>
      <c r="C27" s="5">
        <v>81</v>
      </c>
      <c r="D27" s="8">
        <v>1.9</v>
      </c>
      <c r="E27" s="3"/>
    </row>
    <row r="28" spans="2:5">
      <c r="B28" s="3"/>
      <c r="C28" s="5">
        <v>83</v>
      </c>
      <c r="D28" s="8">
        <v>1.8</v>
      </c>
      <c r="E28" s="3"/>
    </row>
    <row r="29" spans="2:5">
      <c r="B29" s="3"/>
      <c r="C29" s="5">
        <v>85</v>
      </c>
      <c r="D29" s="8">
        <v>1.7</v>
      </c>
      <c r="E29" s="3"/>
    </row>
    <row r="30" spans="2:5">
      <c r="B30" s="3"/>
      <c r="C30" s="5">
        <v>87</v>
      </c>
      <c r="D30" s="8">
        <v>1.6</v>
      </c>
      <c r="E30" s="3"/>
    </row>
    <row r="31" spans="2:5">
      <c r="B31" s="3"/>
      <c r="C31" s="5">
        <v>89</v>
      </c>
      <c r="D31" s="8">
        <v>1.5</v>
      </c>
      <c r="E31" s="3"/>
    </row>
    <row r="32" spans="2:5">
      <c r="B32" s="3"/>
      <c r="C32" s="5">
        <v>91</v>
      </c>
      <c r="D32" s="8">
        <v>1.4</v>
      </c>
      <c r="E32" s="3"/>
    </row>
    <row r="33" spans="2:5">
      <c r="B33" s="3"/>
      <c r="C33" s="5">
        <v>93</v>
      </c>
      <c r="D33" s="8">
        <v>1.3</v>
      </c>
      <c r="E33" s="3"/>
    </row>
    <row r="34" spans="2:5">
      <c r="B34" s="3"/>
      <c r="C34" s="5">
        <v>95</v>
      </c>
      <c r="D34" s="8">
        <v>1.2</v>
      </c>
      <c r="E34" s="3"/>
    </row>
    <row r="35" spans="2:5">
      <c r="B35" s="3"/>
      <c r="C35" s="5">
        <v>97</v>
      </c>
      <c r="D35" s="8">
        <v>1.1000000000000001</v>
      </c>
      <c r="E35" s="3"/>
    </row>
    <row r="36" spans="2:5">
      <c r="B36" s="3"/>
      <c r="C36" s="5">
        <v>99</v>
      </c>
      <c r="D36" s="8">
        <v>1</v>
      </c>
      <c r="E36" s="3"/>
    </row>
    <row r="37" spans="2:5" ht="15" thickBot="1">
      <c r="B37" s="3"/>
      <c r="C37" s="6">
        <v>100</v>
      </c>
      <c r="D37" s="9">
        <v>1</v>
      </c>
      <c r="E37" s="3"/>
    </row>
    <row r="38" spans="2:5" ht="15" thickTop="1"/>
  </sheetData>
  <sheetProtection algorithmName="SHA-512" hashValue="n7128/sOZAKjSxMcLabUP2eoJ4P7gvcHgdjdHOaDfJhQ2tnHGmDb805JniSibahfgzT/IoBoI8wlXecqtWIlig==" saltValue="Tlx4bbL1VI5JQp17+4/3+A==" spinCount="100000" sheet="1" objects="1" scenarios="1"/>
  <mergeCells count="2">
    <mergeCell ref="C3:D4"/>
    <mergeCell ref="B2:E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Attendance Sheet</vt:lpstr>
      <vt:lpstr>PRELIM</vt:lpstr>
      <vt:lpstr>MIDTERM</vt:lpstr>
      <vt:lpstr>FINALS</vt:lpstr>
      <vt:lpstr>Grade 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Leeroy Gadiane</dc:creator>
  <cp:lastModifiedBy>Decr0zeath</cp:lastModifiedBy>
  <cp:lastPrinted>2026-02-10T15:12:12Z</cp:lastPrinted>
  <dcterms:created xsi:type="dcterms:W3CDTF">2020-10-09T02:45:07Z</dcterms:created>
  <dcterms:modified xsi:type="dcterms:W3CDTF">2026-02-12T18:17:24Z</dcterms:modified>
</cp:coreProperties>
</file>